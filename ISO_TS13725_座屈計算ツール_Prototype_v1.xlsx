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ecbe59855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・結果" sheetId="1" r:id="Rb75a3c925e714917"/>
    <x:sheet xmlns:r="http://schemas.openxmlformats.org/officeDocument/2006/relationships" name="計算ロジック" sheetId="2" r:id="R4d3466597066438e"/>
    <x:sheet xmlns:r="http://schemas.openxmlformats.org/officeDocument/2006/relationships" name="規格メモ" sheetId="3" r:id="R5cd572aae774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@"/>
    <x:numFmt numFmtId="203" formatCode="0.000"/>
  </x:numFmts>
  <x:fonts count="14">
    <x:font>
      <x:sz val="11"/>
      <x:name val="Carlito"/>
    </x:font>
    <x:font>
      <x:b/>
      <x:sz val="16"/>
      <x:color rgb="FFFFFFFF"/>
      <x:name val="Carlito"/>
    </x:font>
    <x:font>
      <x:sz val="11"/>
      <x:color rgb="FF843C0C"/>
      <x:name val="Carlito"/>
    </x:font>
    <x:font>
      <x:b/>
      <x:sz val="11"/>
      <x:color rgb="FF163A5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375623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10"/>
      <x:color rgb="FF843C0C"/>
      <x:name val="Carlito"/>
    </x:font>
    <x:font>
      <x:b/>
      <x:sz val="10"/>
      <x:color rgb="FF163A5F"/>
      <x:name val="Carlito"/>
    </x:font>
    <x:font>
      <x:sz val="10"/>
      <x:color rgb="FF7F6000"/>
      <x:name val="Carlito"/>
    </x:font>
    <x:font>
      <x:b/>
      <x:sz val="10"/>
      <x:color rgb="FF375623"/>
      <x:name val="Carlito"/>
    </x:font>
    <x:font>
      <x:b/>
      <x:sz val="10"/>
      <x:color rgb="FF40404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</x:fills>
  <x:borders count="18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2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5" fillId="6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5" fillId="6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5" fillId="6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5" fillId="6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4" xfId="0" applyNumberFormat="1" applyFont="1" applyFill="1" applyBorder="1"/>
    <x:xf numFmtId="0" fontId="0" fillId="0" borderId="17" xfId="0" applyNumberFormat="1" applyFont="1" applyFill="1" applyBorder="1"/>
    <x:xf numFmtId="0" fontId="0" fillId="7" borderId="3" xfId="0" applyNumberFormat="1" applyFont="1" applyFill="1" applyBorder="1"/>
    <x:xf numFmtId="0" fontId="0" fillId="7" borderId="0" xfId="0" applyNumberFormat="1" applyFont="1" applyFill="1" applyBorder="1"/>
    <x:xf numFmtId="0" fontId="0" fillId="7" borderId="8" xfId="0" applyNumberFormat="1" applyFont="1" applyFill="1" applyBorder="1"/>
    <x:xf numFmtId="0" fontId="6" fillId="7" borderId="3" xfId="0" applyNumberFormat="1" applyFont="1" applyFill="1" applyBorder="1"/>
    <x:xf numFmtId="0" fontId="6" fillId="7" borderId="0" xfId="0" applyNumberFormat="1" applyFont="1" applyFill="1" applyBorder="1"/>
    <x:xf numFmtId="0" fontId="6" fillId="7" borderId="8" xfId="0" applyNumberFormat="1" applyFont="1" applyFill="1" applyBorder="1"/>
    <x:xf numFmtId="0" fontId="0" fillId="7" borderId="11" xfId="0" applyNumberFormat="1" applyFont="1" applyFill="1" applyBorder="1"/>
    <x:xf numFmtId="0" fontId="0" fillId="7" borderId="1" xfId="0" applyNumberFormat="1" applyFont="1" applyFill="1" applyBorder="1"/>
    <x:xf numFmtId="0" fontId="0" fillId="7" borderId="16" xfId="0" applyNumberFormat="1" applyFont="1" applyFill="1" applyBorder="1"/>
    <x:xf numFmtId="0" fontId="6" fillId="7" borderId="11" xfId="0" applyNumberFormat="1" applyFont="1" applyFill="1" applyBorder="1"/>
    <x:xf numFmtId="0" fontId="6" fillId="7" borderId="1" xfId="0" applyNumberFormat="1" applyFont="1" applyFill="1" applyBorder="1"/>
    <x:xf numFmtId="0" fontId="6" fillId="7" borderId="16" xfId="0" applyNumberFormat="1" applyFont="1" applyFill="1" applyBorder="1"/>
    <x:xf numFmtId="200" fontId="6" fillId="7" borderId="3" xfId="0" applyNumberFormat="1" applyFont="1" applyFill="1" applyBorder="1"/>
    <x:xf numFmtId="200" fontId="6" fillId="7" borderId="0" xfId="0" applyNumberFormat="1" applyFont="1" applyFill="1" applyBorder="1"/>
    <x:xf numFmtId="200" fontId="6" fillId="7" borderId="11" xfId="0" applyNumberFormat="1" applyFont="1" applyFill="1" applyBorder="1"/>
    <x:xf numFmtId="200" fontId="6" fillId="7" borderId="1" xfId="0" applyNumberFormat="1" applyFont="1" applyFill="1" applyBorder="1"/>
    <x:xf numFmtId="201" fontId="6" fillId="7" borderId="0" xfId="0" applyNumberFormat="1" applyFont="1" applyFill="1" applyBorder="1"/>
    <x:xf numFmtId="201" fontId="6" fillId="7" borderId="1" xfId="0" applyNumberFormat="1" applyFont="1" applyFill="1" applyBorder="1"/>
    <x:xf numFmtId="202" fontId="6" fillId="7" borderId="0" xfId="0" applyNumberFormat="1" applyFont="1" applyFill="1" applyBorder="1"/>
    <x:xf numFmtId="202" fontId="6" fillId="7" borderId="8" xfId="0" applyNumberFormat="1" applyFont="1" applyFill="1" applyBorder="1"/>
    <x:xf numFmtId="202" fontId="6" fillId="7" borderId="1" xfId="0" applyNumberFormat="1" applyFont="1" applyFill="1" applyBorder="1"/>
    <x:xf numFmtId="202" fontId="6" fillId="7" borderId="16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horizontal="left" vertical="center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/>
    <x:xf numFmtId="0" fontId="11" fillId="6" borderId="6" xfId="0" applyNumberFormat="1" applyFont="1" applyFill="1" applyBorder="1"/>
    <x:xf numFmtId="0" fontId="8" fillId="0" borderId="2" xfId="0" applyNumberFormat="1" applyFont="1" applyFill="1" applyBorder="1"/>
    <x:xf numFmtId="200" fontId="12" fillId="7" borderId="3" xfId="0" applyNumberFormat="1" applyFont="1" applyFill="1" applyBorder="1"/>
    <x:xf numFmtId="0" fontId="8" fillId="0" borderId="4" xfId="0" applyNumberFormat="1" applyFont="1" applyFill="1" applyBorder="1"/>
    <x:xf numFmtId="201" fontId="12" fillId="7" borderId="0" xfId="0" applyNumberFormat="1" applyFont="1" applyFill="1" applyBorder="1"/>
    <x:xf numFmtId="0" fontId="8" fillId="0" borderId="6" xfId="0" applyNumberFormat="1" applyFont="1" applyFill="1" applyBorder="1"/>
    <x:xf numFmtId="200" fontId="12" fillId="7" borderId="0" xfId="0" applyNumberFormat="1" applyFont="1" applyFill="1" applyBorder="1"/>
    <x:xf numFmtId="202" fontId="12" fillId="7" borderId="0" xfId="0" applyNumberFormat="1" applyFont="1" applyFill="1" applyBorder="1"/>
    <x:xf numFmtId="0" fontId="8" fillId="0" borderId="7" xfId="0" applyNumberFormat="1" applyFont="1" applyFill="1" applyBorder="1"/>
    <x:xf numFmtId="202" fontId="12" fillId="7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8" xfId="0" applyNumberFormat="1" applyFont="1" applyFill="1" applyBorder="1"/>
    <x:xf numFmtId="0" fontId="11" fillId="6" borderId="9" xfId="0" applyNumberFormat="1" applyFont="1" applyFill="1" applyBorder="1"/>
    <x:xf numFmtId="0" fontId="11" fillId="6" borderId="0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left" vertical="center"/>
    </x:xf>
    <x:xf numFmtId="0" fontId="7" fillId="5" borderId="10" xfId="0" applyNumberFormat="1" applyFont="1" applyFill="1" applyBorder="1" applyAlignment="1">
      <x:alignment horizontal="center" vertical="center" wrapText="1"/>
    </x:xf>
    <x:xf numFmtId="0" fontId="7" fillId="5" borderId="11" xfId="0" applyNumberFormat="1" applyFont="1" applyFill="1" applyBorder="1" applyAlignment="1">
      <x:alignment horizontal="center" vertical="center" wrapText="1"/>
    </x:xf>
    <x:xf numFmtId="0" fontId="7" fillId="5" borderId="12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0" borderId="13" xfId="0" applyNumberFormat="1" applyFont="1" applyFill="1" applyBorder="1"/>
    <x:xf numFmtId="0" fontId="11" fillId="6" borderId="14" xfId="0" applyNumberFormat="1" applyFont="1" applyFill="1" applyBorder="1"/>
    <x:xf numFmtId="0" fontId="8" fillId="0" borderId="10" xfId="0" applyNumberFormat="1" applyFont="1" applyFill="1" applyBorder="1"/>
    <x:xf numFmtId="200" fontId="12" fillId="7" borderId="11" xfId="0" applyNumberFormat="1" applyFont="1" applyFill="1" applyBorder="1"/>
    <x:xf numFmtId="0" fontId="8" fillId="0" borderId="12" xfId="0" applyNumberFormat="1" applyFont="1" applyFill="1" applyBorder="1"/>
    <x:xf numFmtId="201" fontId="12" fillId="7" borderId="1" xfId="0" applyNumberFormat="1" applyFont="1" applyFill="1" applyBorder="1"/>
    <x:xf numFmtId="0" fontId="8" fillId="0" borderId="14" xfId="0" applyNumberFormat="1" applyFont="1" applyFill="1" applyBorder="1"/>
    <x:xf numFmtId="200" fontId="12" fillId="7" borderId="1" xfId="0" applyNumberFormat="1" applyFont="1" applyFill="1" applyBorder="1"/>
    <x:xf numFmtId="202" fontId="12" fillId="7" borderId="1" xfId="0" applyNumberFormat="1" applyFont="1" applyFill="1" applyBorder="1"/>
    <x:xf numFmtId="0" fontId="8" fillId="0" borderId="15" xfId="0" applyNumberFormat="1" applyFont="1" applyFill="1" applyBorder="1"/>
    <x:xf numFmtId="202" fontId="12" fillId="7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6" xfId="0" applyNumberFormat="1" applyFont="1" applyFill="1" applyBorder="1"/>
    <x:xf numFmtId="0" fontId="11" fillId="6" borderId="17" xfId="0" applyNumberFormat="1" applyFont="1" applyFill="1" applyBorder="1"/>
    <x:xf numFmtId="0" fontId="11" fillId="6" borderId="1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6" fillId="7" borderId="0" xfId="0" applyNumberFormat="1" applyFont="1" applyFill="1" applyBorder="1"/>
    <x:xf numFmtId="203" fontId="0" fillId="0" borderId="1" xfId="0" applyNumberFormat="1" applyFont="1" applyFill="1" applyBorder="1"/>
    <x:xf numFmtId="203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9" borderId="2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wrapText="1"/>
    </x:xf>
    <x:xf numFmtId="0" fontId="13" fillId="9" borderId="2" xfId="0" applyNumberFormat="1" applyFont="1" applyFill="1" applyBorder="1" applyAlignment="1">
      <x:alignment wrapText="1"/>
    </x:xf>
    <x:xf numFmtId="0" fontId="13" fillId="9" borderId="5" xfId="0" applyNumberFormat="1" applyFont="1" applyFill="1" applyBorder="1" applyAlignment="1">
      <x:alignment wrapText="1"/>
    </x:xf>
    <x:xf numFmtId="0" fontId="13" fillId="9" borderId="7" xfId="0" applyNumberFormat="1" applyFont="1" applyFill="1" applyBorder="1" applyAlignment="1">
      <x:alignment wrapText="1"/>
    </x:xf>
    <x:xf numFmtId="0" fontId="13" fillId="9" borderId="2" xfId="0" applyNumberFormat="1" applyFont="1" applyFill="1" applyBorder="1" applyAlignment="1">
      <x:alignment vertical="center" wrapText="1"/>
    </x:xf>
    <x:xf numFmtId="0" fontId="13" fillId="9" borderId="5" xfId="0" applyNumberFormat="1" applyFont="1" applyFill="1" applyBorder="1" applyAlignment="1">
      <x:alignment vertical="center" wrapText="1"/>
    </x:xf>
    <x:xf numFmtId="0" fontId="13" fillId="9" borderId="7" xfId="0" applyNumberFormat="1" applyFont="1" applyFill="1" applyBorder="1" applyAlignment="1">
      <x:alignment vertical="center" wrapText="1"/>
    </x:xf>
    <x:xf numFmtId="0" fontId="8" fillId="9" borderId="10" xfId="0" applyNumberFormat="1" applyFont="1" applyFill="1" applyBorder="1" applyAlignment="1">
      <x:alignment wrapText="1"/>
    </x:xf>
    <x:xf numFmtId="0" fontId="8" fillId="9" borderId="13" xfId="0" applyNumberFormat="1" applyFont="1" applyFill="1" applyBorder="1" applyAlignment="1">
      <x:alignment wrapText="1"/>
    </x:xf>
    <x:xf numFmtId="0" fontId="8" fillId="9" borderId="15" xfId="0" applyNumberFormat="1" applyFont="1" applyFill="1" applyBorder="1" applyAlignment="1">
      <x:alignment wrapText="1"/>
    </x:xf>
    <x:xf numFmtId="0" fontId="13" fillId="9" borderId="10" xfId="0" applyNumberFormat="1" applyFont="1" applyFill="1" applyBorder="1" applyAlignment="1">
      <x:alignment wrapText="1"/>
    </x:xf>
    <x:xf numFmtId="0" fontId="13" fillId="9" borderId="13" xfId="0" applyNumberFormat="1" applyFont="1" applyFill="1" applyBorder="1" applyAlignment="1">
      <x:alignment wrapText="1"/>
    </x:xf>
    <x:xf numFmtId="0" fontId="13" fillId="9" borderId="15" xfId="0" applyNumberFormat="1" applyFont="1" applyFill="1" applyBorder="1" applyAlignment="1">
      <x:alignment wrapText="1"/>
    </x:xf>
    <x:xf numFmtId="0" fontId="13" fillId="9" borderId="10" xfId="0" applyNumberFormat="1" applyFont="1" applyFill="1" applyBorder="1" applyAlignment="1">
      <x:alignment vertical="center" wrapText="1"/>
    </x:xf>
    <x:xf numFmtId="0" fontId="13" fillId="9" borderId="13" xfId="0" applyNumberFormat="1" applyFont="1" applyFill="1" applyBorder="1" applyAlignment="1">
      <x:alignment vertical="center" wrapText="1"/>
    </x:xf>
    <x:xf numFmtId="0" fontId="13" fillId="9" borderId="15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6bec3d07d4d20" /><Relationship Type="http://schemas.openxmlformats.org/officeDocument/2006/relationships/theme" Target="/xl/theme/theme1.xml" Id="R3f5a8a8937644f22" /><Relationship Type="http://schemas.openxmlformats.org/officeDocument/2006/relationships/sharedStrings" Target="/xl/sharedStrings.xml" Id="Ra9340b62035e4b32" /><Relationship Type="http://schemas.openxmlformats.org/officeDocument/2006/relationships/worksheet" Target="/xl/worksheets/sheet1.xml" Id="Rb75a3c925e714917" /><Relationship Type="http://schemas.openxmlformats.org/officeDocument/2006/relationships/worksheet" Target="/xl/worksheets/sheet2.xml" Id="R4d3466597066438e" /><Relationship Type="http://schemas.openxmlformats.org/officeDocument/2006/relationships/worksheet" Target="/xl/worksheets/sheet3.xml" Id="R5cd572aae77445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" hidden="0" customWidth="1"/>
    <x:col min="3" max="3" width="12" hidden="0" customWidth="1"/>
    <x:col min="4" max="4" width="16" hidden="0" customWidth="1"/>
    <x:col min="5" max="5" width="3" hidden="0" customWidth="1"/>
    <x:col min="6" max="6" width="31" hidden="0" customWidth="1"/>
    <x:col min="7" max="7" width="18" hidden="0" customWidth="1"/>
    <x:col min="8" max="8" width="10" hidden="0" customWidth="1"/>
  </x:cols>
  <x:sheetData>
    <x:row r="1" ht="28" customHeight="1">
      <x:c r="A1" s="107" t="str">
        <x:v>油圧シリンダ 座屈強度計算ツール　Prototype Ver.1</x:v>
      </x:c>
      <x:c r="B1" s="107"/>
      <x:c r="C1" s="107"/>
      <x:c r="D1" s="107"/>
      <x:c r="E1" s="107"/>
      <x:c r="F1" s="107"/>
      <x:c r="G1" s="107"/>
      <x:c r="H1" s="107"/>
    </x:row>
    <x:row r="2">
      <x:c r="A2" s="108"/>
      <x:c r="B2" s="108"/>
      <x:c r="C2" s="108"/>
      <x:c r="D2" s="108"/>
      <x:c r="E2" s="108"/>
      <x:c r="F2" s="108"/>
      <x:c r="G2" s="108"/>
      <x:c r="H2" s="108"/>
    </x:row>
    <x:row r="3" ht="26" customHeight="1">
      <x:c r="A3" s="109" t="str">
        <x:v>対象：ISO/TS 13725:2001(E) 第4章「両端ピン支持（pin-mounted）」の1号版。本プロトタイプは軸圧縮荷重を前提とし、偏心荷重・芯ずれ・自重による横荷重は未実装です。黄色セルを入力／変更してください。</x:v>
      </x:c>
      <x:c r="B3" s="109"/>
      <x:c r="C3" s="109"/>
      <x:c r="D3" s="109"/>
      <x:c r="E3" s="109"/>
      <x:c r="F3" s="109"/>
      <x:c r="G3" s="109"/>
      <x:c r="H3" s="109"/>
    </x:row>
    <x:row r="4" ht="26" customHeight="1">
      <x:c r="A4" s="109"/>
      <x:c r="B4" s="109"/>
      <x:c r="C4" s="109"/>
      <x:c r="D4" s="109"/>
      <x:c r="E4" s="109"/>
      <x:c r="F4" s="109"/>
      <x:c r="G4" s="109"/>
      <x:c r="H4" s="109"/>
    </x:row>
    <x:row r="5">
      <x:c r="A5" s="108"/>
      <x:c r="B5" s="108"/>
      <x:c r="C5" s="108"/>
      <x:c r="D5" s="108"/>
      <x:c r="E5" s="108"/>
      <x:c r="F5" s="108"/>
      <x:c r="G5" s="108"/>
      <x:c r="H5" s="108"/>
    </x:row>
    <x:row r="6">
      <x:c r="A6" s="110" t="str">
        <x:v>入力条件</x:v>
      </x:c>
      <x:c r="B6" s="110"/>
      <x:c r="C6" s="110"/>
      <x:c r="D6" s="110"/>
      <x:c r="E6" s="108"/>
      <x:c r="F6" s="110" t="str">
        <x:v>計算結果</x:v>
      </x:c>
      <x:c r="G6" s="110"/>
      <x:c r="H6" s="110"/>
    </x:row>
    <x:row r="7">
      <x:c r="A7" s="111" t="str">
        <x:v>項目</x:v>
      </x:c>
      <x:c r="B7" s="112" t="str">
        <x:v>記号</x:v>
      </x:c>
      <x:c r="C7" s="112" t="str">
        <x:v>単位</x:v>
      </x:c>
      <x:c r="D7" s="113" t="str">
        <x:v>入力値</x:v>
      </x:c>
      <x:c r="E7" s="108"/>
      <x:c r="F7" s="114" t="str">
        <x:v>項目</x:v>
      </x:c>
      <x:c r="G7" s="114" t="str">
        <x:v>結果</x:v>
      </x:c>
      <x:c r="H7" s="114" t="str">
        <x:v>単位</x:v>
      </x:c>
    </x:row>
    <x:row r="8">
      <x:c r="A8" s="115" t="str">
        <x:v>シリンダチューブ外径</x:v>
      </x:c>
      <x:c r="B8" s="108" t="str">
        <x:v>D1e</x:v>
      </x:c>
      <x:c r="C8" s="108" t="str">
        <x:v>mm</x:v>
      </x:c>
      <x:c r="D8" s="116" t="n">
        <x:v>90</x:v>
      </x:c>
      <x:c r="E8" s="108"/>
      <x:c r="F8" s="117" t="str">
        <x:v>L3 使用値</x:v>
      </x:c>
      <x:c r="G8" s="118" t="n">
        <x:f>IF(D14="", (D13+(D8-D9)/2)/2, D14)</x:f>
        <x:v>43.75</x:v>
      </x:c>
      <x:c r="H8" s="119" t="str">
        <x:v>mm</x:v>
      </x:c>
    </x:row>
    <x:row r="9">
      <x:c r="A9" s="115" t="str">
        <x:v>シリンダチューブ内径</x:v>
      </x:c>
      <x:c r="B9" s="108" t="str">
        <x:v>D1i</x:v>
      </x:c>
      <x:c r="C9" s="108" t="str">
        <x:v>mm</x:v>
      </x:c>
      <x:c r="D9" s="116" t="n">
        <x:v>75</x:v>
      </x:c>
      <x:c r="E9" s="108"/>
      <x:c r="F9" s="115" t="str">
        <x:v>チューブ断面二次モーメント I1</x:v>
      </x:c>
      <x:c r="G9" s="120" t="n">
        <x:f>PI()/64*(D8^4-D9^4)</x:f>
        <x:v>1667467.7960474496</x:v>
      </x:c>
      <x:c r="H9" s="121" t="str">
        <x:v>mm⁴</x:v>
      </x:c>
    </x:row>
    <x:row r="10">
      <x:c r="A10" s="115" t="str">
        <x:v>ピストンロッド外径</x:v>
      </x:c>
      <x:c r="B10" s="108" t="str">
        <x:v>D2</x:v>
      </x:c>
      <x:c r="C10" s="108" t="str">
        <x:v>mm</x:v>
      </x:c>
      <x:c r="D10" s="116" t="n">
        <x:v>45</x:v>
      </x:c>
      <x:c r="E10" s="108"/>
      <x:c r="F10" s="115" t="str">
        <x:v>ロッド断面二次モーメント I2</x:v>
      </x:c>
      <x:c r="G10" s="120" t="n">
        <x:f>PI()/64*D10^4</x:f>
        <x:v>201288.95898635383</x:v>
      </x:c>
      <x:c r="H10" s="121" t="str">
        <x:v>mm⁴</x:v>
      </x:c>
    </x:row>
    <x:row r="11">
      <x:c r="A11" s="115" t="str">
        <x:v>シリンダチューブ長</x:v>
      </x:c>
      <x:c r="B11" s="108" t="str">
        <x:v>L1</x:v>
      </x:c>
      <x:c r="C11" s="108" t="str">
        <x:v>mm</x:v>
      </x:c>
      <x:c r="D11" s="116" t="n">
        <x:v>800</x:v>
      </x:c>
      <x:c r="E11" s="108"/>
      <x:c r="F11" s="115" t="str">
        <x:v>圧力から算出した軸力</x:v>
      </x:c>
      <x:c r="G11" s="122" t="n">
        <x:f>PI()/4*D9^2*D19/1000</x:f>
        <x:v>44.17864669110647</x:v>
      </x:c>
      <x:c r="H11" s="121" t="str">
        <x:v>kN</x:v>
      </x:c>
    </x:row>
    <x:row r="12">
      <x:c r="A12" s="115" t="str">
        <x:v>ピストンロッド長（評価位置）</x:v>
      </x:c>
      <x:c r="B12" s="108" t="str">
        <x:v>L2</x:v>
      </x:c>
      <x:c r="C12" s="108" t="str">
        <x:v>mm</x:v>
      </x:c>
      <x:c r="D12" s="116" t="n">
        <x:v>1000</x:v>
      </x:c>
      <x:c r="E12" s="108"/>
      <x:c r="F12" s="115" t="str">
        <x:v>判定に使用する実荷重</x:v>
      </x:c>
      <x:c r="G12" s="122" t="n">
        <x:f>IF(D20="",G11,D20)</x:f>
        <x:v>44.17864669110647</x:v>
      </x:c>
      <x:c r="H12" s="121" t="str">
        <x:v>kN</x:v>
      </x:c>
    </x:row>
    <x:row r="13">
      <x:c r="A13" s="115" t="str">
        <x:v>ピストン長</x:v>
      </x:c>
      <x:c r="B13" s="108" t="str">
        <x:v>Lp</x:v>
      </x:c>
      <x:c r="C13" s="108" t="str">
        <x:v>mm</x:v>
      </x:c>
      <x:c r="D13" s="116" t="n">
        <x:v>80</x:v>
      </x:c>
      <x:c r="E13" s="108"/>
      <x:c r="F13" s="115" t="str">
        <x:v>ISO Step 1 座屈荷重 force_det</x:v>
      </x:c>
      <x:c r="G13" s="122" t="n">
        <x:f>'計算ロジック'!L6/1000</x:f>
        <x:v>57.552899182109904</x:v>
      </x:c>
      <x:c r="H13" s="121" t="str">
        <x:v>kN</x:v>
      </x:c>
    </x:row>
    <x:row r="14">
      <x:c r="A14" s="115" t="str">
        <x:v>L3 手入力（空欄なら図1式で自動）</x:v>
      </x:c>
      <x:c r="B14" s="108" t="str">
        <x:v>L3</x:v>
      </x:c>
      <x:c r="C14" s="108" t="str">
        <x:v>mm</x:v>
      </x:c>
      <x:c r="D14" s="116"/>
      <x:c r="E14" s="108"/>
      <x:c r="F14" s="115" t="str">
        <x:v>材料降伏による上限（軸力のみ）</x:v>
      </x:c>
      <x:c r="G14" s="122" t="n">
        <x:f>D17*PI()*D10^2/(4*D18)/1000</x:f>
        <x:v>188.20103490411353</x:v>
      </x:c>
      <x:c r="H14" s="121" t="str">
        <x:v>kN</x:v>
      </x:c>
    </x:row>
    <x:row r="15">
      <x:c r="A15" s="115" t="str">
        <x:v>チューブ材 ヤング率</x:v>
      </x:c>
      <x:c r="B15" s="108" t="str">
        <x:v>E1</x:v>
      </x:c>
      <x:c r="C15" s="108" t="str">
        <x:v>N/mm²</x:v>
      </x:c>
      <x:c r="D15" s="116" t="n">
        <x:v>205000</x:v>
      </x:c>
      <x:c r="E15" s="108"/>
      <x:c r="F15" s="115" t="str">
        <x:v>許容圧縮荷重（小さい方）</x:v>
      </x:c>
      <x:c r="G15" s="122" t="n">
        <x:f>MIN(G13,G14)</x:f>
        <x:v>57.552899182109904</x:v>
      </x:c>
      <x:c r="H15" s="121" t="str">
        <x:v>kN</x:v>
      </x:c>
    </x:row>
    <x:row r="16">
      <x:c r="A16" s="115" t="str">
        <x:v>ロッド材 ヤング率</x:v>
      </x:c>
      <x:c r="B16" s="108" t="str">
        <x:v>E2</x:v>
      </x:c>
      <x:c r="C16" s="108" t="str">
        <x:v>N/mm²</x:v>
      </x:c>
      <x:c r="D16" s="116" t="n">
        <x:v>205000</x:v>
      </x:c>
      <x:c r="E16" s="108"/>
      <x:c r="F16" s="115" t="str">
        <x:v>荷重余裕率</x:v>
      </x:c>
      <x:c r="G16" s="122" t="n">
        <x:f>IF(G12&gt;0,G15/G12,"")</x:f>
        <x:v>1.3027311493834368</x:v>
      </x:c>
      <x:c r="H16" s="121" t="str">
        <x:v>倍</x:v>
      </x:c>
    </x:row>
    <x:row r="17">
      <x:c r="A17" s="115" t="str">
        <x:v>ロッド材 降伏点</x:v>
      </x:c>
      <x:c r="B17" s="108" t="str">
        <x:v>σe</x:v>
      </x:c>
      <x:c r="C17" s="108" t="str">
        <x:v>N/mm²</x:v>
      </x:c>
      <x:c r="D17" s="116" t="n">
        <x:v>355</x:v>
      </x:c>
      <x:c r="E17" s="108"/>
      <x:c r="F17" s="115" t="str">
        <x:v>判定</x:v>
      </x:c>
      <x:c r="G17" s="123" t="str">
        <x:f>IF(G12="","",IF(G12&lt;=G15,"OK","NG"))</x:f>
        <x:v>OK</x:v>
      </x:c>
      <x:c r="H17" s="121" t="str"/>
    </x:row>
    <x:row r="18">
      <x:c r="A18" s="115" t="str">
        <x:v>安全率</x:v>
      </x:c>
      <x:c r="B18" s="108" t="str">
        <x:v>k</x:v>
      </x:c>
      <x:c r="C18" s="108" t="str">
        <x:v>-</x:v>
      </x:c>
      <x:c r="D18" s="116" t="n">
        <x:v>3</x:v>
      </x:c>
      <x:c r="E18" s="108"/>
      <x:c r="F18" s="124" t="str">
        <x:v>支配要因</x:v>
      </x:c>
      <x:c r="G18" s="125" t="str">
        <x:f>IF(G13&lt;G14,"座屈","材料降伏")</x:f>
        <x:v>座屈</x:v>
      </x:c>
      <x:c r="H18" s="126" t="str"/>
    </x:row>
    <x:row r="19">
      <x:c r="A19" s="115" t="str">
        <x:v>使用圧力</x:v>
      </x:c>
      <x:c r="B19" s="108" t="str">
        <x:v>p</x:v>
      </x:c>
      <x:c r="C19" s="108" t="str">
        <x:v>MPa</x:v>
      </x:c>
      <x:c r="D19" s="116" t="n">
        <x:v>10</x:v>
      </x:c>
      <x:c r="E19" s="108"/>
      <x:c r="F19" s="108"/>
      <x:c r="G19" s="108"/>
      <x:c r="H19" s="108"/>
    </x:row>
    <x:row r="20">
      <x:c r="A20" s="124" t="str">
        <x:v>実使用軸圧縮荷重（任意・優先）</x:v>
      </x:c>
      <x:c r="B20" s="127" t="str">
        <x:v>Fwork</x:v>
      </x:c>
      <x:c r="C20" s="127" t="str">
        <x:v>kN</x:v>
      </x:c>
      <x:c r="D20" s="128"/>
      <x:c r="E20" s="108"/>
      <x:c r="F20" s="129" t="str">
        <x:v>注意：Ver.1 の材料降伏側は、ISO の最大応力式のうち曲げモーメント Mmax=0 とした軸圧縮のみの評価です。偏心・芯ずれ・自重横荷重を含む完全版では、Mmax を求めて降伏判定を行う必要があります。</x:v>
      </x:c>
      <x:c r="G20" s="129"/>
      <x:c r="H20" s="129"/>
    </x:row>
    <x:row r="21">
      <x:c r="A21" s="108"/>
      <x:c r="B21" s="108"/>
      <x:c r="C21" s="108"/>
      <x:c r="D21" s="108"/>
      <x:c r="E21" s="108"/>
      <x:c r="F21" s="129"/>
      <x:c r="G21" s="129"/>
      <x:c r="H21" s="129"/>
    </x:row>
    <x:row r="22">
      <x:c r="A22" s="110" t="str">
        <x:v>入力寸法の考え方</x:v>
      </x:c>
      <x:c r="B22" s="110"/>
      <x:c r="C22" s="110"/>
      <x:c r="D22" s="110"/>
      <x:c r="E22" s="108"/>
      <x:c r="F22" s="129"/>
      <x:c r="G22" s="129"/>
      <x:c r="H22" s="129"/>
    </x:row>
    <x:row r="23" ht="34" customHeight="1">
      <x:c r="A23" s="199" t="str">
        <x:v>L1</x:v>
      </x:c>
      <x:c r="B23" s="211" t="str">
        <x:v>シリンダ側ピン中心 ～ シリンダチューブ／ロッド接続部までの長さ</x:v>
      </x:c>
      <x:c r="C23" s="212"/>
      <x:c r="D23" s="212"/>
      <x:c r="E23" s="108"/>
      <x:c r="F23" s="129"/>
      <x:c r="G23" s="129"/>
      <x:c r="H23" s="129"/>
    </x:row>
    <x:row r="24" ht="34" customHeight="1">
      <x:c r="A24" s="200" t="str">
        <x:v>L2</x:v>
      </x:c>
      <x:c r="B24" s="213" t="str">
        <x:v>接続部 ～ ロッド先端ピン中心まで。最大伸長側など、評価したい位置の長さを入力</x:v>
      </x:c>
      <x:c r="C24" s="212"/>
      <x:c r="D24" s="212"/>
      <x:c r="E24" s="108"/>
      <x:c r="F24" s="108"/>
      <x:c r="G24" s="108"/>
      <x:c r="H24" s="108"/>
    </x:row>
    <x:row r="25" ht="34" customHeight="1">
      <x:c r="A25" s="201" t="str">
        <x:v>L3</x:v>
      </x:c>
      <x:c r="B25" s="214" t="str">
        <x:v>ピストン中心線 ～ ピストンロッド軸受中心の距離。空欄時は ISO 図1の式で算出</x:v>
      </x:c>
      <x:c r="C25" s="212"/>
      <x:c r="D25" s="212"/>
      <x:c r="E25" s="108"/>
      <x:c r="F25" s="108"/>
      <x:c r="G25" s="108"/>
      <x:c r="H25" s="108"/>
    </x:row>
  </x:sheetData>
  <x:mergeCells>
    <x:mergeCell ref="A1:H1"/>
    <x:mergeCell ref="A3:H4"/>
    <x:mergeCell ref="A6:D6"/>
    <x:mergeCell ref="A22:D22"/>
    <x:mergeCell ref="F6:H6"/>
    <x:mergeCell ref="F20:H23"/>
    <x:mergeCell ref="B23:D23"/>
    <x:mergeCell ref="B24:D24"/>
    <x:mergeCell ref="B25:D25"/>
  </x:mergeCells>
  <x:conditionalFormatting sqref="G17:G17">
    <x:cfRule type="expression" dxfId="0" priority="1">
      <x:formula>G17="OK"</x:formula>
    </x:cfRule>
    <x:cfRule type="expression" dxfId="1" priority="2">
      <x:formula>G17="NG"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2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0" hidden="0" customWidth="1"/>
    <x:col min="10" max="10" width="11" hidden="0" customWidth="1"/>
    <x:col min="11" max="11" width="18" hidden="0" customWidth="1"/>
    <x:col min="12" max="12" width="16" hidden="0" customWidth="1"/>
    <x:col min="13" max="13" width="3" hidden="0" customWidth="1"/>
    <x:col min="14" max="14" width="9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20" hidden="0" customWidth="1"/>
    <x:col min="21" max="21" width="15" hidden="0" customWidth="1"/>
  </x:cols>
  <x:sheetData>
    <x:row r="1">
      <x:c r="A1" s="5" t="str">
        <x:v>ISO/TS 13725:2001(E) 第4章　pin-mounted 計算ロジック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40" t="str">
        <x:v>パラメータ</x:v>
      </x:c>
      <x:c r="B3" s="42" t="str">
        <x:v>値</x:v>
      </x:c>
      <x:c r="K3" s="21" t="str">
        <x:v>初回符号変化行</x:v>
      </x:c>
      <x:c r="L3" t="n">
        <x:f>IFERROR(MATCH(1,J18:J316,0)+17,"")</x:f>
        <x:v>176</x:v>
      </x:c>
    </x:row>
    <x:row r="4">
      <x:c r="A4" s="43" t="str">
        <x:v>D1e</x:v>
      </x:c>
      <x:c r="B4" s="74" t="n">
        <x:f>'入力・結果'!D8</x:f>
        <x:v>90</x:v>
      </x:c>
      <x:c r="K4" s="21" t="str">
        <x:v>下限 F [N]</x:v>
      </x:c>
      <x:c r="L4" s="165" t="n">
        <x:f>IF(L3="","",INDEX(B:B,L3-1))</x:f>
        <x:v>56997.110943260755</x:v>
      </x:c>
    </x:row>
    <x:row r="5">
      <x:c r="A5" s="43" t="str">
        <x:v>D1i</x:v>
      </x:c>
      <x:c r="B5" s="74" t="n">
        <x:f>'入力・結果'!D9</x:f>
        <x:v>75</x:v>
      </x:c>
      <x:c r="K5" s="21" t="str">
        <x:v>上限 F [N]</x:v>
      </x:c>
      <x:c r="L5" s="165" t="n">
        <x:f>IF(L3="","",INDEX(B:B,L3))</x:f>
        <x:v>61087.6160750504</x:v>
      </x:c>
    </x:row>
    <x:row r="6">
      <x:c r="A6" s="43" t="str">
        <x:v>D2</x:v>
      </x:c>
      <x:c r="B6" s="74" t="n">
        <x:f>'入力・結果'!D10</x:f>
        <x:v>45</x:v>
      </x:c>
      <x:c r="K6" s="21" t="str">
        <x:v>収束 force_det [N]</x:v>
      </x:c>
      <x:c r="L6" s="166" t="n">
        <x:f>IF(L3="","",(O66+P66)/2)</x:f>
        <x:v>57552.899182109904</x:v>
      </x:c>
    </x:row>
    <x:row r="7">
      <x:c r="A7" s="43" t="str">
        <x:v>L1</x:v>
      </x:c>
      <x:c r="B7" s="74" t="n">
        <x:f>'入力・結果'!D11</x:f>
        <x:v>800</x:v>
      </x:c>
    </x:row>
    <x:row r="8">
      <x:c r="A8" s="43" t="str">
        <x:v>L2</x:v>
      </x:c>
      <x:c r="B8" s="74" t="n">
        <x:f>'入力・結果'!D12</x:f>
        <x:v>1000</x:v>
      </x:c>
      <x:c r="K8" s="175" t="str">
        <x:v>第4章 Step 1 の方程式：
k·F·L3·sin(q1L1)·sin(q2L2) − 3·E2·I2·q1·cos(q1L1)·sin(q2L2) − 3·E2·I2·q2·cos(q2L2)·sin(q1L1) = 0
q1²=kF/(E1I1), q2²=kF/(E2I2)。まず1～1×10^9 Nを対数走査し、最初の負→正の符号変化を捕捉、その区間を50回二分法で収束させています。</x:v>
      </x:c>
      <x:c r="L8" s="176"/>
      <x:c r="M8" s="176"/>
      <x:c r="N8" s="176"/>
      <x:c r="O8" s="176"/>
      <x:c r="P8" s="176"/>
      <x:c r="Q8" s="176"/>
      <x:c r="R8" s="176"/>
      <x:c r="S8" s="176"/>
      <x:c r="T8" s="176"/>
      <x:c r="U8" s="177"/>
    </x:row>
    <x:row r="9">
      <x:c r="A9" s="43" t="str">
        <x:v>L3</x:v>
      </x:c>
      <x:c r="B9" s="74" t="n">
        <x:f>'入力・結果'!G8</x:f>
        <x:v>43.75</x:v>
      </x:c>
      <x:c r="K9" s="178"/>
      <x:c r="L9" s="171"/>
      <x:c r="M9" s="171"/>
      <x:c r="N9" s="171"/>
      <x:c r="O9" s="171"/>
      <x:c r="P9" s="171"/>
      <x:c r="Q9" s="171"/>
      <x:c r="R9" s="171"/>
      <x:c r="S9" s="171"/>
      <x:c r="T9" s="171"/>
      <x:c r="U9" s="179"/>
    </x:row>
    <x:row r="10">
      <x:c r="A10" s="43" t="str">
        <x:v>E1</x:v>
      </x:c>
      <x:c r="B10" s="74" t="n">
        <x:f>'入力・結果'!D15</x:f>
        <x:v>205000</x:v>
      </x:c>
      <x:c r="K10" s="178"/>
      <x:c r="L10" s="171"/>
      <x:c r="M10" s="171"/>
      <x:c r="N10" s="171"/>
      <x:c r="O10" s="171"/>
      <x:c r="P10" s="171"/>
      <x:c r="Q10" s="171"/>
      <x:c r="R10" s="171"/>
      <x:c r="S10" s="171"/>
      <x:c r="T10" s="171"/>
      <x:c r="U10" s="179"/>
    </x:row>
    <x:row r="11">
      <x:c r="A11" s="43" t="str">
        <x:v>E2</x:v>
      </x:c>
      <x:c r="B11" s="74" t="n">
        <x:f>'入力・結果'!D16</x:f>
        <x:v>205000</x:v>
      </x:c>
      <x:c r="K11" s="178"/>
      <x:c r="L11" s="171"/>
      <x:c r="M11" s="171"/>
      <x:c r="N11" s="171"/>
      <x:c r="O11" s="171"/>
      <x:c r="P11" s="171"/>
      <x:c r="Q11" s="171"/>
      <x:c r="R11" s="171"/>
      <x:c r="S11" s="171"/>
      <x:c r="T11" s="171"/>
      <x:c r="U11" s="179"/>
    </x:row>
    <x:row r="12">
      <x:c r="A12" s="43" t="str">
        <x:v>k</x:v>
      </x:c>
      <x:c r="B12" s="74" t="n">
        <x:f>'入力・結果'!D18</x:f>
        <x:v>3</x:v>
      </x:c>
      <x:c r="K12" s="178"/>
      <x:c r="L12" s="171"/>
      <x:c r="M12" s="171"/>
      <x:c r="N12" s="171"/>
      <x:c r="O12" s="171"/>
      <x:c r="P12" s="171"/>
      <x:c r="Q12" s="171"/>
      <x:c r="R12" s="171"/>
      <x:c r="S12" s="171"/>
      <x:c r="T12" s="171"/>
      <x:c r="U12" s="179"/>
    </x:row>
    <x:row r="13">
      <x:c r="A13" s="43" t="str">
        <x:v>I1</x:v>
      </x:c>
      <x:c r="B13" s="74" t="n">
        <x:f>PI()/64*(B4^4-B5^4)</x:f>
        <x:v>1667467.7960474496</x:v>
      </x:c>
      <x:c r="K13" s="180"/>
      <x:c r="L13" s="181"/>
      <x:c r="M13" s="181"/>
      <x:c r="N13" s="181"/>
      <x:c r="O13" s="181"/>
      <x:c r="P13" s="181"/>
      <x:c r="Q13" s="181"/>
      <x:c r="R13" s="181"/>
      <x:c r="S13" s="181"/>
      <x:c r="T13" s="181"/>
      <x:c r="U13" s="182"/>
    </x:row>
    <x:row r="14">
      <x:c r="A14" s="46" t="str">
        <x:v>I2</x:v>
      </x:c>
      <x:c r="B14" s="75" t="n">
        <x:f>PI()/64*B6^4</x:f>
        <x:v>201288.95898635383</x:v>
      </x:c>
    </x:row>
    <x:row r="16">
      <x:c r="A16" s="30" t="str">
        <x:v>i</x:v>
      </x:c>
      <x:c r="B16" s="30" t="str">
        <x:v>F候補[N]</x:v>
      </x:c>
      <x:c r="C16" s="30" t="str">
        <x:v>q1</x:v>
      </x:c>
      <x:c r="D16" s="30" t="str">
        <x:v>q2</x:v>
      </x:c>
      <x:c r="E16" s="30" t="str">
        <x:v>s1</x:v>
      </x:c>
      <x:c r="F16" s="30" t="str">
        <x:v>C1</x:v>
      </x:c>
      <x:c r="G16" s="30" t="str">
        <x:v>s2</x:v>
      </x:c>
      <x:c r="H16" s="30" t="str">
        <x:v>C2</x:v>
      </x:c>
      <x:c r="I16" s="30" t="str">
        <x:v>ISO方程式 g(F)</x:v>
      </x:c>
      <x:c r="J16" s="30" t="str">
        <x:v>符号変化</x:v>
      </x:c>
      <x:c r="N16" s="30" t="str">
        <x:v>反復</x:v>
      </x:c>
      <x:c r="O16" s="30" t="str">
        <x:v>Low</x:v>
      </x:c>
      <x:c r="P16" s="30" t="str">
        <x:v>High</x:v>
      </x:c>
      <x:c r="Q16" s="30" t="str">
        <x:v>Mid</x:v>
      </x:c>
      <x:c r="R16" s="30" t="str">
        <x:v>q1(Mid)</x:v>
      </x:c>
      <x:c r="S16" s="30" t="str">
        <x:v>q2(Mid)</x:v>
      </x:c>
      <x:c r="T16" s="30" t="str">
        <x:v>g(Mid)</x:v>
      </x:c>
      <x:c r="U16" s="30" t="str">
        <x:v>幅</x:v>
      </x:c>
    </x:row>
    <x:row r="17">
      <x:c r="A17" t="n">
        <x:v>0</x:v>
      </x:c>
      <x:c r="B17" t="n">
        <x:f>10^(9*A17/299)</x:f>
        <x:v>1</x:v>
      </x:c>
      <x:c r="C17" t="n">
        <x:f>SQRT($B$12*B17/($B$10*$B$13))</x:f>
        <x:v>0.00000296247687730872</x:v>
      </x:c>
      <x:c r="D17" t="n">
        <x:f>SQRT($B$12*B17/($B$11*$B$14))</x:f>
        <x:v>0.000008526557397877384</x:v>
      </x:c>
      <x:c r="E17" t="n">
        <x:f>SIN(C17*$B$7)</x:f>
        <x:v>0.00236997928322405</x:v>
      </x:c>
      <x:c r="F17" t="n">
        <x:f>COS(C17*$B$7)</x:f>
        <x:v>0.999997191595155</x:v>
      </x:c>
      <x:c r="G17" t="n">
        <x:f>SIN(D17*$B$8)</x:f>
        <x:v>0.008526454081699658</x:v>
      </x:c>
      <x:c r="H17" t="n">
        <x:f>COS(D17*$B$8)</x:f>
        <x:v>0.9999636491297035</x:v>
      </x:c>
      <x:c r="I17" t="n">
        <x:f>$B$12*B17*$B$9*E17*G17-3*$B$11*$B$14*C17*F17*G17-3*$B$11*$B$14*D17*H17*E17</x:f>
        <x:v>-5628.403972367802</x:v>
      </x:c>
      <x:c r="J17" t="n">
        <x:v>0</x:v>
      </x:c>
      <x:c r="N17" t="n">
        <x:v>1</x:v>
      </x:c>
      <x:c r="O17" t="n">
        <x:f>$L$4</x:f>
        <x:v>56997.110943260755</x:v>
      </x:c>
      <x:c r="P17" t="n">
        <x:f>$L$5</x:f>
        <x:v>61087.6160750504</x:v>
      </x:c>
      <x:c r="Q17" t="n">
        <x:f>(O17+P17)/2</x:f>
        <x:v>59042.36350915558</x:v>
      </x:c>
      <x:c r="R17" t="n">
        <x:f>SQRT($B$12*Q17/($B$10*$B$13))</x:f>
        <x:v>0.0007198414264471065</x:v>
      </x:c>
      <x:c r="S17" t="n">
        <x:f>SQRT($B$12*Q17/($B$11*$B$14))</x:f>
        <x:v>0.0020718370114493783</x:v>
      </x:c>
      <x:c r="T17" t="n">
        <x:f>$B$12*Q17*$B$9*SIN(R17*$B$7)*SIN(S17*$B$8)-3*$B$11*$B$14*R17*COS(R17*$B$7)*SIN(S17*$B$8)-3*$B$11*$B$14*S17*COS(S17*$B$8)*SIN(R17*$B$7)</x:f>
        <x:v>5237718.007865399</x:v>
      </x:c>
      <x:c r="U17" t="n">
        <x:f>P17-O17</x:f>
        <x:v>4090.505131789643</x:v>
      </x:c>
    </x:row>
    <x:row r="18">
      <x:c r="A18" t="n">
        <x:f>A17+1</x:f>
        <x:v>1</x:v>
      </x:c>
      <x:c r="B18" t="n">
        <x:f>10^(9*A18/299)</x:f>
        <x:v>1.071766885445503</x:v>
      </x:c>
      <x:c r="C18" t="n">
        <x:f>SQRT($B$12*B18/($B$10*$B$13))</x:f>
        <x:v>0.000003066938988371172</x:v>
      </x:c>
      <x:c r="D18" t="n">
        <x:f>SQRT($B$12*B18/($B$11*$B$14))</x:f>
        <x:v>0.000008827218710274396</x:v>
      </x:c>
      <x:c r="E18" t="n">
        <x:f>SIN(C18*$B$7)</x:f>
        <x:v>0.0024535487290033783</x:v>
      </x:c>
      <x:c r="F18" t="n">
        <x:f>COS(C18*$B$7)</x:f>
        <x:v>0.9999969900447873</x:v>
      </x:c>
      <x:c r="G18" t="n">
        <x:f>SIN(D18*$B$8)</x:f>
        <x:v>0.00882710407488275</x:v>
      </x:c>
      <x:c r="H18" t="n">
        <x:f>COS(D18*$B$8)</x:f>
        <x:v>0.9999610403578988</x:v>
      </x:c>
      <x:c r="I18" t="n">
        <x:f>$B$12*B18*$B$9*E18*G18-3*$B$11*$B$14*C18*F18*G18-3*$B$11*$B$14*D18*H18*E18</x:f>
        <x:v>-6032.326027184141</x:v>
      </x:c>
      <x:c r="J18" t="n">
        <x:f>IF(AND(I17&lt;0,I18&gt;=0),1,0)</x:f>
        <x:v>0</x:v>
      </x:c>
      <x:c r="N18" t="n">
        <x:f>N17+1</x:f>
        <x:v>2</x:v>
      </x:c>
      <x:c r="O18" t="n">
        <x:f>IF(T17&lt;0,Q17,O17)</x:f>
        <x:v>56997.110943260755</x:v>
      </x:c>
      <x:c r="P18" t="n">
        <x:f>IF(T17&lt;0,P17,Q17)</x:f>
        <x:v>59042.36350915558</x:v>
      </x:c>
      <x:c r="Q18" t="n">
        <x:f>(O18+P18)/2</x:f>
        <x:v>58019.73722620816</x:v>
      </x:c>
      <x:c r="R18" t="n">
        <x:f>SQRT($B$12*Q18/($B$10*$B$13))</x:f>
        <x:v>0.0007135802937508679</x:v>
      </x:c>
      <x:c r="S18" t="n">
        <x:f>SQRT($B$12*Q18/($B$11*$B$14))</x:f>
        <x:v>0.0020538163113659053</x:v>
      </x:c>
      <x:c r="T18" t="n">
        <x:f>$B$12*Q18*$B$9*SIN(R18*$B$7)*SIN(S18*$B$8)-3*$B$11*$B$14*R18*COS(R18*$B$7)*SIN(S18*$B$8)-3*$B$11*$B$14*S18*COS(S18*$B$8)*SIN(R18*$B$7)</x:f>
        <x:v>1627935.9812024087</x:v>
      </x:c>
      <x:c r="U18" t="n">
        <x:f>P18-O18</x:f>
        <x:v>2045.2525658948216</x:v>
      </x:c>
    </x:row>
    <x:row r="19">
      <x:c r="A19" t="n">
        <x:f>A18+1</x:f>
        <x:v>2</x:v>
      </x:c>
      <x:c r="B19" t="n">
        <x:f>10^(9*A19/299)</x:f>
        <x:v>1.1486842567375537</x:v>
      </x:c>
      <x:c r="C19" t="n">
        <x:f>SQRT($B$12*B19/($B$10*$B$13))</x:f>
        <x:v>0.000003175084615997486</x:v>
      </x:c>
      <x:c r="D19" t="n">
        <x:f>SQRT($B$12*B19/($B$11*$B$14))</x:f>
        <x:v>0.000009138481865895355</x:v>
      </x:c>
      <x:c r="E19" t="n">
        <x:f>SIN(C19*$B$7)</x:f>
        <x:v>0.0025400649614031674</x:v>
      </x:c>
      <x:c r="F19" t="n">
        <x:f>COS(C19*$B$7)</x:f>
        <x:v>0.9999967740297925</x:v>
      </x:c>
      <x:c r="G19" t="n">
        <x:f>SIN(D19*$B$8)</x:f>
        <x:v>0.009138354671170761</x:v>
      </x:c>
      <x:c r="H19" t="n">
        <x:f>COS(D19*$B$8)</x:f>
        <x:v>0.9999582443651854</x:v>
      </x:c>
      <x:c r="I19" t="n">
        <x:f>$B$12*B19*$B$9*E19*G19-3*$B$11*$B$14*C19*F19*G19-3*$B$11*$B$14*D19*H19*E19</x:f>
        <x:v>-6465.234679034515</x:v>
      </x:c>
      <x:c r="J19" t="n">
        <x:f>IF(AND(I18&lt;0,I19&gt;=0),1,0)</x:f>
        <x:v>0</x:v>
      </x:c>
      <x:c r="N19" t="n">
        <x:f>N18+1</x:f>
        <x:v>3</x:v>
      </x:c>
      <x:c r="O19" t="n">
        <x:f>IF(T18&lt;0,Q18,O18)</x:f>
        <x:v>56997.110943260755</x:v>
      </x:c>
      <x:c r="P19" t="n">
        <x:f>IF(T18&lt;0,P18,Q18)</x:f>
        <x:v>58019.73722620816</x:v>
      </x:c>
      <x:c r="Q19" t="n">
        <x:f>(O19+P19)/2</x:f>
        <x:v>57508.42408473446</x:v>
      </x:c>
      <x:c r="R19" t="n">
        <x:f>SQRT($B$12*Q19/($B$10*$B$13))</x:f>
        <x:v>0.000710429035041263</x:v>
      </x:c>
      <x:c r="S19" t="n">
        <x:f>SQRT($B$12*Q19/($B$11*$B$14))</x:f>
        <x:v>0.002044746404873532</x:v>
      </x:c>
      <x:c r="T19" t="n">
        <x:f>$B$12*Q19*$B$9*SIN(R19*$B$7)*SIN(S19*$B$8)-3*$B$11*$B$14*R19*COS(R19*$B$7)*SIN(S19*$B$8)-3*$B$11*$B$14*S19*COS(S19*$B$8)*SIN(R19*$B$7)</x:f>
        <x:v>-154423.71079541743</x:v>
      </x:c>
      <x:c r="U19" t="n">
        <x:f>P19-O19</x:f>
        <x:v>1022.6262829474072</x:v>
      </x:c>
    </x:row>
    <x:row r="20">
      <x:c r="A20" t="n">
        <x:f>A19+1</x:f>
        <x:v>3</x:v>
      </x:c>
      <x:c r="B20" t="n">
        <x:f>10^(9*A20/299)</x:f>
        <x:v>1.2311217482038903</x:v>
      </x:c>
      <x:c r="C20" t="n">
        <x:f>SQRT($B$12*B20/($B$10*$B$13))</x:f>
        <x:v>0.000003287043647417953</x:v>
      </x:c>
      <x:c r="D20" t="n">
        <x:f>SQRT($B$12*B20/($B$11*$B$14))</x:f>
        <x:v>0.000009460720704257057</x:v>
      </x:c>
      <x:c r="E20" t="n">
        <x:f>SIN(C20*$B$7)</x:f>
        <x:v>0.0026296318872900196</x:v>
      </x:c>
      <x:c r="F20" t="n">
        <x:f>COS(C20*$B$7)</x:f>
        <x:v>0.9999965425120916</x:v>
      </x:c>
      <x:c r="G20" t="n">
        <x:f>SIN(D20*$B$8)</x:f>
        <x:v>0.00946057957421504</x:v>
      </x:c>
      <x:c r="H20" t="n">
        <x:f>COS(D20*$B$8)</x:f>
        <x:v>0.9999552477156765</x:v>
      </x:c>
      <x:c r="I20" t="n">
        <x:f>$B$12*B20*$B$9*E20*G20-3*$B$11*$B$14*C20*F20*G20-3*$B$11*$B$14*D20*H20*E20</x:f>
        <x:v>-6929.209963235801</x:v>
      </x:c>
      <x:c r="J20" t="n">
        <x:f>IF(AND(I19&lt;0,I20&gt;=0),1,0)</x:f>
        <x:v>0</x:v>
      </x:c>
      <x:c r="N20" t="n">
        <x:f>N19+1</x:f>
        <x:v>4</x:v>
      </x:c>
      <x:c r="O20" t="n">
        <x:f>IF(T19&lt;0,Q19,O19)</x:f>
        <x:v>57508.42408473446</x:v>
      </x:c>
      <x:c r="P20" t="n">
        <x:f>IF(T19&lt;0,P19,Q19)</x:f>
        <x:v>58019.73722620816</x:v>
      </x:c>
      <x:c r="Q20" t="n">
        <x:f>(O20+P20)/2</x:f>
        <x:v>57764.08065547131</x:v>
      </x:c>
      <x:c r="R20" t="n">
        <x:f>SQRT($B$12*Q20/($B$10*$B$13))</x:f>
        <x:v>0.0007120064077869086</x:v>
      </x:c>
      <x:c r="S20" t="n">
        <x:f>SQRT($B$12*Q20/($B$11*$B$14))</x:f>
        <x:v>0.002049286375921614</x:v>
      </x:c>
      <x:c r="T20" t="n">
        <x:f>$B$12*Q20*$B$9*SIN(R20*$B$7)*SIN(S20*$B$8)-3*$B$11*$B$14*R20*COS(R20*$B$7)*SIN(S20*$B$8)-3*$B$11*$B$14*S20*COS(S20*$B$8)*SIN(R20*$B$7)</x:f>
        <x:v>734842.7560057044</x:v>
      </x:c>
      <x:c r="U20" t="n">
        <x:f>P20-O20</x:f>
        <x:v>511.31314147369994</x:v>
      </x:c>
    </x:row>
    <x:row r="21">
      <x:c r="A21" t="n">
        <x:f>A20+1</x:f>
        <x:v>4</x:v>
      </x:c>
      <x:c r="B21" t="n">
        <x:f>10^(9*A21/299)</x:f>
        <x:v>1.3194755216767062</x:v>
      </x:c>
      <x:c r="C21" t="n">
        <x:f>SQRT($B$12*B21/($B$10*$B$13))</x:f>
        <x:v>0.0000034029505499135563</x:v>
      </x:c>
      <x:c r="D21" t="n">
        <x:f>SQRT($B$12*B21/($B$11*$B$14))</x:f>
        <x:v>0.000009794322247110874</x:v>
      </x:c>
      <x:c r="E21" t="n">
        <x:f>SIN(C21*$B$7)</x:f>
        <x:v>0.0027223570772514387</x:v>
      </x:c>
      <x:c r="F21" t="n">
        <x:f>COS(C21*$B$7)</x:f>
        <x:v>0.9999962943791062</x:v>
      </x:c>
      <x:c r="G21" t="n">
        <x:f>SIN(D21*$B$8)</x:f>
        <x:v>0.009794165655016389</x:v>
      </x:c>
      <x:c r="H21" t="n">
        <x:f>COS(D21*$B$8)</x:f>
        <x:v>0.9999520360092888</x:v>
      </x:c>
      <x:c r="I21" t="n">
        <x:f>$B$12*B21*$B$9*E21*G21-3*$B$11*$B$14*C21*F21*G21-3*$B$11*$B$14*D21*H21*E21</x:f>
        <x:v>-7426.481156710071</x:v>
      </x:c>
      <x:c r="J21" t="n">
        <x:f>IF(AND(I20&lt;0,I21&gt;=0),1,0)</x:f>
        <x:v>0</x:v>
      </x:c>
      <x:c r="N21" t="n">
        <x:f>N20+1</x:f>
        <x:v>5</x:v>
      </x:c>
      <x:c r="O21" t="n">
        <x:f>IF(T20&lt;0,Q20,O20)</x:f>
        <x:v>57508.42408473446</x:v>
      </x:c>
      <x:c r="P21" t="n">
        <x:f>IF(T20&lt;0,P20,Q20)</x:f>
        <x:v>57764.08065547131</x:v>
      </x:c>
      <x:c r="Q21" t="n">
        <x:f>(O21+P21)/2</x:f>
        <x:v>57636.252370102884</x:v>
      </x:c>
      <x:c r="R21" t="n">
        <x:f>SQRT($B$12*Q21/($B$10*$B$13))</x:f>
        <x:v>0.0007112181587105596</x:v>
      </x:c>
      <x:c r="S21" t="n">
        <x:f>SQRT($B$12*Q21/($B$11*$B$14))</x:f>
        <x:v>0.002047017649017855</x:v>
      </x:c>
      <x:c r="T21" t="n">
        <x:f>$B$12*Q21*$B$9*SIN(R21*$B$7)*SIN(S21*$B$8)-3*$B$11*$B$14*R21*COS(R21*$B$7)*SIN(S21*$B$8)-3*$B$11*$B$14*S21*COS(S21*$B$8)*SIN(R21*$B$7)</x:f>
        <x:v>289728.4809743911</x:v>
      </x:c>
      <x:c r="U21" t="n">
        <x:f>P21-O21</x:f>
        <x:v>255.65657073684997</x:v>
      </x:c>
    </x:row>
    <x:row r="22">
      <x:c r="A22" t="n">
        <x:f>A21+1</x:f>
        <x:v>5</x:v>
      </x:c>
      <x:c r="B22" t="n">
        <x:f>10^(9*A22/299)</x:f>
        <x:v>1.4141701702890235</x:v>
      </x:c>
      <x:c r="C22" t="n">
        <x:f>SQRT($B$12*B22/($B$10*$B$13))</x:f>
        <x:v>0.000003522944532316565</x:v>
      </x:c>
      <x:c r="D22" t="n">
        <x:f>SQRT($B$12*B22/($B$11*$B$14))</x:f>
        <x:v>0.000010139687163271372</x:v>
      </x:c>
      <x:c r="E22" t="n">
        <x:f>SIN(C22*$B$7)</x:f>
        <x:v>0.002818351894761282</x:v>
      </x:c>
      <x:c r="F22" t="n">
        <x:f>COS(C22*$B$7)</x:f>
        <x:v>0.999996028438412</x:v>
      </x:c>
      <x:c r="G22" t="n">
        <x:f>SIN(D22*$B$8)</x:f>
        <x:v>0.010139513415122932</x:v>
      </x:c>
      <x:c r="H22" t="n">
        <x:f>COS(D22*$B$8)</x:f>
        <x:v>0.9999485938125542</x:v>
      </x:c>
      <x:c r="I22" t="n">
        <x:f>$B$12*B22*$B$9*E22*G22-3*$B$11*$B$14*C22*F22*G22-3*$B$11*$B$14*D22*H22*E22</x:f>
        <x:v>-7959.437483229691</x:v>
      </x:c>
      <x:c r="J22" t="n">
        <x:f>IF(AND(I21&lt;0,I22&gt;=0),1,0)</x:f>
        <x:v>0</x:v>
      </x:c>
      <x:c r="N22" t="n">
        <x:f>N21+1</x:f>
        <x:v>6</x:v>
      </x:c>
      <x:c r="O22" t="n">
        <x:f>IF(T21&lt;0,Q21,O21)</x:f>
        <x:v>57508.42408473446</x:v>
      </x:c>
      <x:c r="P22" t="n">
        <x:f>IF(T21&lt;0,P21,Q21)</x:f>
        <x:v>57636.252370102884</x:v>
      </x:c>
      <x:c r="Q22" t="n">
        <x:f>(O22+P22)/2</x:f>
        <x:v>57572.33822741867</x:v>
      </x:c>
      <x:c r="R22" t="n">
        <x:f>SQRT($B$12*Q22/($B$10*$B$13))</x:f>
        <x:v>0.000710823706382004</x:v>
      </x:c>
      <x:c r="S22" t="n">
        <x:f>SQRT($B$12*Q22/($B$11*$B$14))</x:f>
        <x:v>0.0020458823421245194</x:v>
      </x:c>
      <x:c r="T22" t="n">
        <x:f>$B$12*Q22*$B$9*SIN(R22*$B$7)*SIN(S22*$B$8)-3*$B$11*$B$14*R22*COS(R22*$B$7)*SIN(S22*$B$8)-3*$B$11*$B$14*S22*COS(S22*$B$8)*SIN(R22*$B$7)</x:f>
        <x:v>67531.78701358289</x:v>
      </x:c>
      <x:c r="U22" t="n">
        <x:f>P22-O22</x:f>
        <x:v>127.82828536842135</x:v>
      </x:c>
    </x:row>
    <x:row r="23">
      <x:c r="A23" t="n">
        <x:f>A22+1</x:f>
        <x:v>6</x:v>
      </x:c>
      <x:c r="B23" t="n">
        <x:f>10^(9*A23/299)</x:f>
        <x:v>1.5156607589006033</x:v>
      </x:c>
      <x:c r="C23" t="n">
        <x:f>SQRT($B$12*B23/($B$10*$B$13))</x:f>
        <x:v>0.0000036471697122059135</x:v>
      </x:c>
      <x:c r="D23" t="n">
        <x:f>SQRT($B$12*B23/($B$11*$B$14))</x:f>
        <x:v>0.00001049723024983562</x:v>
      </x:c>
      <x:c r="E23" t="n">
        <x:f>SIN(C23*$B$7)</x:f>
        <x:v>0.0029177316298972097</x:v>
      </x:c>
      <x:c r="F23" t="n">
        <x:f>COS(C23*$B$7)</x:f>
        <x:v>0.9999957434120087</x:v>
      </x:c>
      <x:c r="G23" t="n">
        <x:f>SIN(D23*$B$8)</x:f>
        <x:v>0.010497037466039989</x:v>
      </x:c>
      <x:c r="H23" t="n">
        <x:f>COS(D23*$B$8)</x:f>
        <x:v>0.9999449045844658</x:v>
      </x:c>
      <x:c r="I23" t="n">
        <x:f>$B$12*B23*$B$9*E23*G23-3*$B$11*$B$14*C23*F23*G23-3*$B$11*$B$14*D23*H23*E23</x:f>
        <x:v>-8530.639586147601</x:v>
      </x:c>
      <x:c r="J23" t="n">
        <x:f>IF(AND(I22&lt;0,I23&gt;=0),1,0)</x:f>
        <x:v>0</x:v>
      </x:c>
      <x:c r="N23" t="n">
        <x:f>N22+1</x:f>
        <x:v>7</x:v>
      </x:c>
      <x:c r="O23" t="n">
        <x:f>IF(T22&lt;0,Q22,O22)</x:f>
        <x:v>57508.42408473446</x:v>
      </x:c>
      <x:c r="P23" t="n">
        <x:f>IF(T22&lt;0,P22,Q22)</x:f>
        <x:v>57572.33822741867</x:v>
      </x:c>
      <x:c r="Q23" t="n">
        <x:f>(O23+P23)/2</x:f>
        <x:v>57540.38115607657</x:v>
      </x:c>
      <x:c r="R23" t="n">
        <x:f>SQRT($B$12*Q23/($B$10*$B$13))</x:f>
        <x:v>0.0007106263981109587</x:v>
      </x:c>
      <x:c r="S23" t="n">
        <x:f>SQRT($B$12*Q23/($B$11*$B$14))</x:f>
        <x:v>0.0020453144523593604</x:v>
      </x:c>
      <x:c r="T23" t="n">
        <x:f>$B$12*Q23*$B$9*SIN(R23*$B$7)*SIN(S23*$B$8)-3*$B$11*$B$14*R23*COS(R23*$B$7)*SIN(S23*$B$8)-3*$B$11*$B$14*S23*COS(S23*$B$8)*SIN(R23*$B$7)</x:f>
        <x:v>-43476.153653785586</x:v>
      </x:c>
      <x:c r="U23" t="n">
        <x:f>P23-O23</x:f>
        <x:v>63.914142684210674</x:v>
      </x:c>
    </x:row>
    <x:row r="24">
      <x:c r="A24" t="n">
        <x:f>A23+1</x:f>
        <x:v>7</x:v>
      </x:c>
      <x:c r="B24" t="n">
        <x:f>10^(9*A24/299)</x:f>
        <x:v>1.6244350109588668</x:v>
      </x:c>
      <x:c r="C24" t="n">
        <x:f>SQRT($B$12*B24/($B$10*$B$13))</x:f>
        <x:v>0.000003775775288998188</x:v>
      </x:c>
      <x:c r="D24" t="n">
        <x:f>SQRT($B$12*B24/($B$11*$B$14))</x:f>
        <x:v>0.000010867380930371105</x:v>
      </x:c>
      <x:c r="E24" t="n">
        <x:f>SIN(C24*$B$7)</x:f>
        <x:v>0.003020615637770354</x:v>
      </x:c>
      <x:c r="F24" t="n">
        <x:f>COS(C24*$B$7)</x:f>
        <x:v>0.9999954379301782</x:v>
      </x:c>
      <x:c r="G24" t="n">
        <x:f>SIN(D24*$B$8)</x:f>
        <x:v>0.010867167025410346</x:v>
      </x:c>
      <x:c r="H24" t="n">
        <x:f>COS(D24*$B$8)</x:f>
        <x:v>0.9999409505970049</x:v>
      </x:c>
      <x:c r="I24" t="n">
        <x:f>$B$12*B24*$B$9*E24*G24-3*$B$11*$B$14*C24*F24*G24-3*$B$11*$B$14*D24*H24*E24</x:f>
        <x:v>-9142.83182357429</x:v>
      </x:c>
      <x:c r="J24" t="n">
        <x:f>IF(AND(I23&lt;0,I24&gt;=0),1,0)</x:f>
        <x:v>0</x:v>
      </x:c>
      <x:c r="N24" t="n">
        <x:f>N23+1</x:f>
        <x:v>8</x:v>
      </x:c>
      <x:c r="O24" t="n">
        <x:f>IF(T23&lt;0,Q23,O23)</x:f>
        <x:v>57540.38115607657</x:v>
      </x:c>
      <x:c r="P24" t="n">
        <x:f>IF(T23&lt;0,P23,Q23)</x:f>
        <x:v>57572.33822741867</x:v>
      </x:c>
      <x:c r="Q24" t="n">
        <x:f>(O24+P24)/2</x:f>
        <x:v>57556.359691747624</x:v>
      </x:c>
      <x:c r="R24" t="n">
        <x:f>SQRT($B$12*Q24/($B$10*$B$13))</x:f>
        <x:v>0.0007107250590934599</x:v>
      </x:c>
      <x:c r="S24" t="n">
        <x:f>SQRT($B$12*Q24/($B$11*$B$14))</x:f>
        <x:v>0.002045598416948813</x:v>
      </x:c>
      <x:c r="T24" t="n">
        <x:f>$B$12*Q24*$B$9*SIN(R24*$B$7)*SIN(S24*$B$8)-3*$B$11*$B$14*R24*COS(R24*$B$7)*SIN(S24*$B$8)-3*$B$11*$B$14*S24*COS(S24*$B$8)*SIN(R24*$B$7)</x:f>
        <x:v>12020.274021282792</x:v>
      </x:c>
      <x:c r="U24" t="n">
        <x:f>P24-O24</x:f>
        <x:v>31.957071342105337</x:v>
      </x:c>
    </x:row>
    <x:row r="25">
      <x:c r="A25" t="n">
        <x:f>A24+1</x:f>
        <x:v>8</x:v>
      </x:c>
      <x:c r="B25" t="n">
        <x:f>10^(9*A25/299)</x:f>
        <x:v>1.7410156523040161</x:v>
      </x:c>
      <x:c r="C25" t="n">
        <x:f>SQRT($B$12*B25/($B$10*$B$13))</x:f>
        <x:v>0.000003908915723142103</x:v>
      </x:c>
      <x:c r="D25" t="n">
        <x:f>SQRT($B$12*B25/($B$11*$B$14))</x:f>
        <x:v>0.00001125058377067064</x:v>
      </x:c>
      <x:c r="E25" t="n">
        <x:f>SIN(C25*$B$7)</x:f>
        <x:v>0.0031271274818330647</x:v>
      </x:c>
      <x:c r="F25" t="n">
        <x:f>COS(C25*$B$7)</x:f>
        <x:v>0.9999951105249028</x:v>
      </x:c>
      <x:c r="G25" t="n">
        <x:f>SIN(D25*$B$8)</x:f>
        <x:v>0.011250346430541564</x:v>
      </x:c>
      <x:c r="H25" t="n">
        <x:f>COS(D25*$B$8)</x:f>
        <x:v>0.9999367128499648</x:v>
      </x:c>
      <x:c r="I25" t="n">
        <x:f>$B$12*B25*$B$9*E25*G25-3*$B$11*$B$14*C25*F25*G25-3*$B$11*$B$14*D25*H25*E25</x:f>
        <x:v>-9798.955444889849</x:v>
      </x:c>
      <x:c r="J25" t="n">
        <x:f>IF(AND(I24&lt;0,I25&gt;=0),1,0)</x:f>
        <x:v>0</x:v>
      </x:c>
      <x:c r="N25" t="n">
        <x:f>N24+1</x:f>
        <x:v>9</x:v>
      </x:c>
      <x:c r="O25" t="n">
        <x:f>IF(T24&lt;0,Q24,O24)</x:f>
        <x:v>57540.38115607657</x:v>
      </x:c>
      <x:c r="P25" t="n">
        <x:f>IF(T24&lt;0,P24,Q24)</x:f>
        <x:v>57556.359691747624</x:v>
      </x:c>
      <x:c r="Q25" t="n">
        <x:f>(O25+P25)/2</x:f>
        <x:v>57548.3704239121</x:v>
      </x:c>
      <x:c r="R25" t="n">
        <x:f>SQRT($B$12*Q25/($B$10*$B$13))</x:f>
        <x:v>0.0007106757303143104</x:v>
      </x:c>
      <x:c r="S25" t="n">
        <x:f>SQRT($B$12*Q25/($B$11*$B$14))</x:f>
        <x:v>0.002045456439581831</x:v>
      </x:c>
      <x:c r="T25" t="n">
        <x:f>$B$12*Q25*$B$9*SIN(R25*$B$7)*SIN(S25*$B$8)-3*$B$11*$B$14*R25*COS(R25*$B$7)*SIN(S25*$B$8)-3*$B$11*$B$14*S25*COS(S25*$B$8)*SIN(R25*$B$7)</x:f>
        <x:v>-15729.826141059399</x:v>
      </x:c>
      <x:c r="U25" t="n">
        <x:f>P25-O25</x:f>
        <x:v>15.978535671056306</x:v>
      </x:c>
    </x:row>
    <x:row r="26">
      <x:c r="A26" t="n">
        <x:f>A25+1</x:f>
        <x:v>9</x:v>
      </x:c>
      <x:c r="B26" t="n">
        <x:f>10^(9*A26/299)</x:f>
        <x:v>1.8659629231817458</x:v>
      </x:c>
      <x:c r="C26" t="n">
        <x:f>SQRT($B$12*B26/($B$10*$B$13))</x:f>
        <x:v>0.000004046750921631682</x:v>
      </x:c>
      <x:c r="D26" t="n">
        <x:f>SQRT($B$12*B26/($B$11*$B$14))</x:f>
        <x:v>0.00001164729901269369</x:v>
      </x:c>
      <x:c r="E26" t="n">
        <x:f>SIN(C26*$B$7)</x:f>
        <x:v>0.0032373950822363767</x:v>
      </x:c>
      <x:c r="F26" t="n">
        <x:f>COS(C26*$B$7)</x:f>
        <x:v>0.9999947596228099</x:v>
      </x:c>
      <x:c r="G26" t="n">
        <x:f>SIN(D26*$B$8)</x:f>
        <x:v>0.01164703566987566</x:v>
      </x:c>
      <x:c r="H26" t="n">
        <x:f>COS(D26*$B$8)</x:f>
        <x:v>0.9999321709796644</x:v>
      </x:c>
      <x:c r="I26" t="n">
        <x:f>$B$12*B26*$B$9*E26*G26-3*$B$11*$B$14*C26*F26*G26-3*$B$11*$B$14*D26*H26*E26</x:f>
        <x:v>-10502.16271168538</x:v>
      </x:c>
      <x:c r="J26" t="n">
        <x:f>IF(AND(I25&lt;0,I26&gt;=0),1,0)</x:f>
        <x:v>0</x:v>
      </x:c>
      <x:c r="N26" t="n">
        <x:f>N25+1</x:f>
        <x:v>10</x:v>
      </x:c>
      <x:c r="O26" t="n">
        <x:f>IF(T25&lt;0,Q25,O25)</x:f>
        <x:v>57548.3704239121</x:v>
      </x:c>
      <x:c r="P26" t="n">
        <x:f>IF(T25&lt;0,P25,Q25)</x:f>
        <x:v>57556.359691747624</x:v>
      </x:c>
      <x:c r="Q26" t="n">
        <x:f>(O26+P26)/2</x:f>
        <x:v>57552.36505782986</x:v>
      </x:c>
      <x:c r="R26" t="n">
        <x:f>SQRT($B$12*Q26/($B$10*$B$13))</x:f>
        <x:v>0.0007107003951318659</x:v>
      </x:c>
      <x:c r="S26" t="n">
        <x:f>SQRT($B$12*Q26/($B$11*$B$14))</x:f>
        <x:v>0.00204552742949713</x:v>
      </x:c>
      <x:c r="T26" t="n">
        <x:f>$B$12*Q26*$B$9*SIN(R26*$B$7)*SIN(S26*$B$8)-3*$B$11*$B$14*R26*COS(R26*$B$7)*SIN(S26*$B$8)-3*$B$11*$B$14*S26*COS(S26*$B$8)*SIN(R26*$B$7)</x:f>
        <x:v>-1855.2475586086512</x:v>
      </x:c>
      <x:c r="U26" t="n">
        <x:f>P26-O26</x:f>
        <x:v>7.989267835524515</x:v>
      </x:c>
    </x:row>
    <x:row r="27">
      <x:c r="A27" t="n">
        <x:f>A26+1</x:f>
        <x:v>10</x:v>
      </x:c>
      <x:c r="B27" t="n">
        <x:f>10^(9*A27/299)</x:f>
        <x:v>1.9998772705352859</x:v>
      </x:c>
      <x:c r="C27" t="n">
        <x:f>SQRT($B$12*B27/($B$10*$B$13))</x:f>
        <x:v>0.000004189446430060967</x:v>
      </x:c>
      <x:c r="D27" t="n">
        <x:f>SQRT($B$12*B27/($B$11*$B$14))</x:f>
        <x:v>0.000012058003127335393</x:v>
      </x:c>
      <x:c r="E27" t="n">
        <x:f>SIN(C27*$B$7)</x:f>
        <x:v>0.0033515508694148778</x:v>
      </x:c>
      <x:c r="F27" t="n">
        <x:f>COS(C27*$B$7)</x:f>
        <x:v>0.9999943835376125</x:v>
      </x:c>
      <x:c r="G27" t="n">
        <x:f>SIN(D27*$B$8)</x:f>
        <x:v>0.01205771093301572</x:v>
      </x:c>
      <x:c r="H27" t="n">
        <x:f>COS(D27*$B$8)</x:f>
        <x:v>0.9999273031611128</x:v>
      </x:c>
      <x:c r="I27" t="n">
        <x:f>$B$12*B27*$B$9*E27*G27-3*$B$11*$B$14*C27*F27*G27-3*$B$11*$B$14*D27*H27*E27</x:f>
        <x:v>-11255.832030733043</x:v>
      </x:c>
      <x:c r="J27" t="n">
        <x:f>IF(AND(I26&lt;0,I27&gt;=0),1,0)</x:f>
        <x:v>0</x:v>
      </x:c>
      <x:c r="N27" t="n">
        <x:f>N26+1</x:f>
        <x:v>11</x:v>
      </x:c>
      <x:c r="O27" t="n">
        <x:f>IF(T26&lt;0,Q26,O26)</x:f>
        <x:v>57552.36505782986</x:v>
      </x:c>
      <x:c r="P27" t="n">
        <x:f>IF(T26&lt;0,P26,Q26)</x:f>
        <x:v>57556.359691747624</x:v>
      </x:c>
      <x:c r="Q27" t="n">
        <x:f>(O27+P27)/2</x:f>
        <x:v>57554.36237478875</x:v>
      </x:c>
      <x:c r="R27" t="n">
        <x:f>SQRT($B$12*Q27/($B$10*$B$13))</x:f>
        <x:v>0.0007107127272196525</x:v>
      </x:c>
      <x:c r="S27" t="n">
        <x:f>SQRT($B$12*Q27/($B$11*$B$14))</x:f>
        <x:v>0.0020455629235309075</x:v>
      </x:c>
      <x:c r="T27" t="n">
        <x:f>$B$12*Q27*$B$9*SIN(R27*$B$7)*SIN(S27*$B$8)-3*$B$11*$B$14*R27*COS(R27*$B$7)*SIN(S27*$B$8)-3*$B$11*$B$14*S27*COS(S27*$B$8)*SIN(R27*$B$7)</x:f>
        <x:v>5082.3953670188785</x:v>
      </x:c>
      <x:c r="U27" t="n">
        <x:f>P27-O27</x:f>
        <x:v>3.9946339177622576</x:v>
      </x:c>
    </x:row>
    <x:row r="28">
      <x:c r="A28" t="n">
        <x:f>A27+1</x:f>
        <x:v>11</x:v>
      </x:c>
      <x:c r="B28" t="n">
        <x:f>10^(9*A28/299)</x:f>
        <x:v>2.143402233514857</x:v>
      </x:c>
      <x:c r="C28" t="n">
        <x:f>SQRT($B$12*B28/($B$10*$B$13))</x:f>
        <x:v>0.000004337173631450906</x:v>
      </x:c>
      <x:c r="D28" t="n">
        <x:f>SQRT($B$12*B28/($B$11*$B$14))</x:f>
        <x:v>0.000012483189386687197</x:v>
      </x:c>
      <x:c r="E28" t="n">
        <x:f>SIN(C28*$B$7)</x:f>
        <x:v>0.0034697319430828724</x:v>
      </x:c>
      <x:c r="F28" t="n">
        <x:f>COS(C28*$B$7)</x:f>
        <x:v>0.9999939804620042</x:v>
      </x:c>
      <x:c r="G28" t="n">
        <x:f>SIN(D28*$B$8)</x:f>
        <x:v>0.012482865179943658</x:v>
      </x:c>
      <x:c r="H28" t="n">
        <x:f>COS(D28*$B$8)</x:f>
        <x:v>0.9999220860031542</x:v>
      </x:c>
      <x:c r="I28" t="n">
        <x:f>$B$12*B28*$B$9*E28*G28-3*$B$11*$B$14*C28*F28*G28-3*$B$11*$B$14*D28*H28*E28</x:f>
        <x:v>-12063.58417140849</x:v>
      </x:c>
      <x:c r="J28" t="n">
        <x:f>IF(AND(I27&lt;0,I28&gt;=0),1,0)</x:f>
        <x:v>0</x:v>
      </x:c>
      <x:c r="N28" t="n">
        <x:f>N27+1</x:f>
        <x:v>12</x:v>
      </x:c>
      <x:c r="O28" t="n">
        <x:f>IF(T27&lt;0,Q27,O27)</x:f>
        <x:v>57552.36505782986</x:v>
      </x:c>
      <x:c r="P28" t="n">
        <x:f>IF(T27&lt;0,P27,Q27)</x:f>
        <x:v>57554.36237478875</x:v>
      </x:c>
      <x:c r="Q28" t="n">
        <x:f>(O28+P28)/2</x:f>
        <x:v>57553.36371630931</x:v>
      </x:c>
      <x:c r="R28" t="n">
        <x:f>SQRT($B$12*Q28/($B$10*$B$13))</x:f>
        <x:v>0.0007107065612025073</x:v>
      </x:c>
      <x:c r="S28" t="n">
        <x:f>SQRT($B$12*Q28/($B$11*$B$14))</x:f>
        <x:v>0.0020455451765910046</x:v>
      </x:c>
      <x:c r="T28" t="n">
        <x:f>$B$12*Q28*$B$9*SIN(R28*$B$7)*SIN(S28*$B$8)-3*$B$11*$B$14*R28*COS(R28*$B$7)*SIN(S28*$B$8)-3*$B$11*$B$14*S28*COS(S28*$B$8)*SIN(R28*$B$7)</x:f>
        <x:v>1613.5444368198514</x:v>
      </x:c>
      <x:c r="U28" t="n">
        <x:f>P28-O28</x:f>
        <x:v>1.9973169588847668</x:v>
      </x:c>
    </x:row>
    <x:row r="29">
      <x:c r="A29" t="n">
        <x:f>A28+1</x:f>
        <x:v>12</x:v>
      </x:c>
      <x:c r="B29" t="n">
        <x:f>10^(9*A29/299)</x:f>
        <x:v>2.2972275360711523</x:v>
      </x:c>
      <x:c r="C29" t="n">
        <x:f>SQRT($B$12*B29/($B$10*$B$13))</x:f>
        <x:v>0.000004490109952087223</x:v>
      </x:c>
      <x:c r="D29" t="n">
        <x:f>SQRT($B$12*B29/($B$11*$B$14))</x:f>
        <x:v>0.000012923368456476387</x:v>
      </x:c>
      <x:c r="E29" t="n">
        <x:f>SIN(C29*$B$7)</x:f>
        <x:v>0.003592080236832173</x:v>
      </x:c>
      <x:c r="F29" t="n">
        <x:f>COS(C29*$B$7)</x:f>
        <x:v>0.9999935484589749</x:v>
      </x:c>
      <x:c r="G29" t="n">
        <x:f>SIN(D29*$B$8)</x:f>
        <x:v>0.012923008730083563</x:v>
      </x:c>
      <x:c r="H29" t="n">
        <x:f>COS(D29*$B$8)</x:f>
        <x:v>0.9999164944360915</x:v>
      </x:c>
      <x:c r="I29" t="n">
        <x:f>$B$12*B29*$B$9*E29*G29-3*$B$11*$B$14*C29*F29*G29-3*$B$11*$B$14*D29*H29*E29</x:f>
        <x:v>-12929.299645156636</x:v>
      </x:c>
      <x:c r="J29" t="n">
        <x:f>IF(AND(I28&lt;0,I29&gt;=0),1,0)</x:f>
        <x:v>0</x:v>
      </x:c>
      <x:c r="N29" t="n">
        <x:f>N28+1</x:f>
        <x:v>13</x:v>
      </x:c>
      <x:c r="O29" t="n">
        <x:f>IF(T28&lt;0,Q28,O28)</x:f>
        <x:v>57552.36505782986</x:v>
      </x:c>
      <x:c r="P29" t="n">
        <x:f>IF(T28&lt;0,P28,Q28)</x:f>
        <x:v>57553.36371630931</x:v>
      </x:c>
      <x:c r="Q29" t="n">
        <x:f>(O29+P29)/2</x:f>
        <x:v>57552.86438706958</x:v>
      </x:c>
      <x:c r="R29" t="n">
        <x:f>SQRT($B$12*Q29/($B$10*$B$13))</x:f>
        <x:v>0.0007107034781738736</x:v>
      </x:c>
      <x:c r="S29" t="n">
        <x:f>SQRT($B$12*Q29/($B$11*$B$14))</x:f>
        <x:v>0.0020455363030633137</x:v>
      </x:c>
      <x:c r="T29" t="n">
        <x:f>$B$12*Q29*$B$9*SIN(R29*$B$7)*SIN(S29*$B$8)-3*$B$11*$B$14*R29*COS(R29*$B$7)*SIN(S29*$B$8)-3*$B$11*$B$14*S29*COS(S29*$B$8)*SIN(R29*$B$7)</x:f>
        <x:v>-120.85892793536186</x:v>
      </x:c>
      <x:c r="U29" t="n">
        <x:f>P29-O29</x:f>
        <x:v>0.9986584794460214</x:v>
      </x:c>
    </x:row>
    <x:row r="30">
      <x:c r="A30" t="n">
        <x:f>A29+1</x:f>
        <x:v>13</x:v>
      </x:c>
      <x:c r="B30" t="n">
        <x:f>10^(9*A30/299)</x:f>
        <x:v>2.4620924014946257</x:v>
      </x:c>
      <x:c r="C30" t="n">
        <x:f>SQRT($B$12*B30/($B$10*$B$13))</x:f>
        <x:v>0.000004648439074616499</x:v>
      </x:c>
      <x:c r="D30" t="n">
        <x:f>SQRT($B$12*B30/($B$11*$B$14))</x:f>
        <x:v>0.000013379069009396093</x:v>
      </x:c>
      <x:c r="E30" t="n">
        <x:f>SIN(C30*$B$7)</x:f>
        <x:v>0.0037187426885285095</x:v>
      </x:c>
      <x:c r="F30" t="n">
        <x:f>COS(C30*$B$7)</x:f>
        <x:v>0.9999930854525028</x:v>
      </x:c>
      <x:c r="G30" t="n">
        <x:f>SIN(D30*$B$8)</x:f>
        <x:v>0.0133786698718856</x:v>
      </x:c>
      <x:c r="H30" t="n">
        <x:f>COS(D30*$B$8)</x:f>
        <x:v>0.999910501591247</x:v>
      </x:c>
      <x:c r="I30" t="n">
        <x:f>$B$12*B30*$B$9*E30*G30-3*$B$11*$B$14*C30*F30*G30-3*$B$11*$B$14*D30*H30*E30</x:f>
        <x:v>-13857.137330124802</x:v>
      </x:c>
      <x:c r="J30" t="n">
        <x:f>IF(AND(I29&lt;0,I30&gt;=0),1,0)</x:f>
        <x:v>0</x:v>
      </x:c>
      <x:c r="N30" t="n">
        <x:f>N29+1</x:f>
        <x:v>14</x:v>
      </x:c>
      <x:c r="O30" t="n">
        <x:f>IF(T29&lt;0,Q29,O29)</x:f>
        <x:v>57552.86438706958</x:v>
      </x:c>
      <x:c r="P30" t="n">
        <x:f>IF(T29&lt;0,P29,Q29)</x:f>
        <x:v>57553.36371630931</x:v>
      </x:c>
      <x:c r="Q30" t="n">
        <x:f>(O30+P30)/2</x:f>
        <x:v>57553.114051689445</x:v>
      </x:c>
      <x:c r="R30" t="n">
        <x:f>SQRT($B$12*Q30/($B$10*$B$13))</x:f>
        <x:v>0.0007107050196898622</x:v>
      </x:c>
      <x:c r="S30" t="n">
        <x:f>SQRT($B$12*Q30/($B$11*$B$14))</x:f>
        <x:v>0.002045540739831971</x:v>
      </x:c>
      <x:c r="T30" t="n">
        <x:f>$B$12*Q30*$B$9*SIN(R30*$B$7)*SIN(S30*$B$8)-3*$B$11*$B$14*R30*COS(R30*$B$7)*SIN(S30*$B$8)-3*$B$11*$B$14*S30*COS(S30*$B$8)*SIN(R30*$B$7)</x:f>
        <x:v>746.3409127518535</x:v>
      </x:c>
      <x:c r="U30" t="n">
        <x:f>P30-O30</x:f>
        <x:v>0.49932923972664867</x:v>
      </x:c>
    </x:row>
    <x:row r="31">
      <x:c r="A31" t="n">
        <x:f>A30+1</x:f>
        <x:v>14</x:v>
      </x:c>
      <x:c r="B31" t="n">
        <x:f>10^(9*A31/299)</x:f>
        <x:v>2.6387891048289336</x:v>
      </x:c>
      <x:c r="C31" t="n">
        <x:f>SQRT($B$12*B31/($B$10*$B$13))</x:f>
        <x:v>0.00000481235115865638</x:v>
      </x:c>
      <x:c r="D31" t="n">
        <x:f>SQRT($B$12*B31/($B$11*$B$14))</x:f>
        <x:v>0.000013850838360062354</x:v>
      </x:c>
      <x:c r="E31" t="n">
        <x:f>SIN(C31*$B$7)</x:f>
        <x:v>0.0038498714167104387</x:v>
      </x:c>
      <x:c r="F31" t="n">
        <x:f>COS(C31*$B$7)</x:f>
        <x:v>0.9999925892175775</x:v>
      </x:c>
      <x:c r="G31" t="n">
        <x:f>SIN(D31*$B$8)</x:f>
        <x:v>0.013850395493626615</x:v>
      </x:c>
      <x:c r="H31" t="n">
        <x:f>COS(D31*$B$8)</x:f>
        <x:v>0.9999040786718845</x:v>
      </x:c>
      <x:c r="I31" t="n">
        <x:f>$B$12*B31*$B$9*E31*G31-3*$B$11*$B$14*C31*F31*G31-3*$B$11*$B$14*D31*H31*E31</x:f>
        <x:v>-14851.554430012357</x:v>
      </x:c>
      <x:c r="J31" t="n">
        <x:f>IF(AND(I30&lt;0,I31&gt;=0),1,0)</x:f>
        <x:v>0</x:v>
      </x:c>
      <x:c r="N31" t="n">
        <x:f>N30+1</x:f>
        <x:v>15</x:v>
      </x:c>
      <x:c r="O31" t="n">
        <x:f>IF(T30&lt;0,Q30,O30)</x:f>
        <x:v>57552.86438706958</x:v>
      </x:c>
      <x:c r="P31" t="n">
        <x:f>IF(T30&lt;0,P30,Q30)</x:f>
        <x:v>57553.114051689445</x:v>
      </x:c>
      <x:c r="Q31" t="n">
        <x:f>(O31+P31)/2</x:f>
        <x:v>57552.98921937951</x:v>
      </x:c>
      <x:c r="R31" t="n">
        <x:f>SQRT($B$12*Q31/($B$10*$B$13))</x:f>
        <x:v>0.000710704248932286</x:v>
      </x:c>
      <x:c r="S31" t="n">
        <x:f>SQRT($B$12*Q31/($B$11*$B$14))</x:f>
        <x:v>0.0020455385214488454</x:v>
      </x:c>
      <x:c r="T31" t="n">
        <x:f>$B$12*Q31*$B$9*SIN(R31*$B$7)*SIN(S31*$B$8)-3*$B$11*$B$14*R31*COS(R31*$B$7)*SIN(S31*$B$8)-3*$B$11*$B$14*S31*COS(S31*$B$8)*SIN(R31*$B$7)</x:f>
        <x:v>312.74053201824427</x:v>
      </x:c>
      <x:c r="U31" t="n">
        <x:f>P31-O31</x:f>
        <x:v>0.24966461986332433</x:v>
      </x:c>
    </x:row>
    <x:row r="32">
      <x:c r="A32" t="n">
        <x:f>A31+1</x:f>
        <x:v>15</x:v>
      </x:c>
      <x:c r="B32" t="n">
        <x:f>10^(9*A32/299)</x:f>
        <x:v>2.8281667802300325</x:v>
      </x:c>
      <x:c r="C32" t="n">
        <x:f>SQRT($B$12*B32/($B$10*$B$13))</x:f>
        <x:v>0.000004982043069184901</x:v>
      </x:c>
      <x:c r="D32" t="n">
        <x:f>SQRT($B$12*B32/($B$11*$B$14))</x:f>
        <x:v>0.0000143392431223609</x:v>
      </x:c>
      <x:c r="E32" t="n">
        <x:f>SIN(C32*$B$7)</x:f>
        <x:v>0.003985623903201749</x:v>
      </x:c>
      <x:c r="F32" t="n">
        <x:f>COS(C32*$B$7)</x:f>
        <x:v>0.9999920573695085</x:v>
      </x:c>
      <x:c r="G32" t="n">
        <x:f>SIN(D32*$B$8)</x:f>
        <x:v>0.014338751736145103</x:v>
      </x:c>
      <x:c r="H32" t="n">
        <x:f>COS(D32*$B$8)</x:f>
        <x:v>0.9998971948148716</x:v>
      </x:c>
      <x:c r="I32" t="n">
        <x:f>$B$12*B32*$B$9*E32*G32-3*$B$11*$B$14*C32*F32*G32-3*$B$11*$B$14*D32*H32*E32</x:f>
        <x:v>-15917.32786253043</x:v>
      </x:c>
      <x:c r="J32" t="n">
        <x:f>IF(AND(I31&lt;0,I32&gt;=0),1,0)</x:f>
        <x:v>0</x:v>
      </x:c>
      <x:c r="N32" t="n">
        <x:f>N31+1</x:f>
        <x:v>16</x:v>
      </x:c>
      <x:c r="O32" t="n">
        <x:f>IF(T31&lt;0,Q31,O31)</x:f>
        <x:v>57552.86438706958</x:v>
      </x:c>
      <x:c r="P32" t="n">
        <x:f>IF(T31&lt;0,P31,Q31)</x:f>
        <x:v>57552.98921937951</x:v>
      </x:c>
      <x:c r="Q32" t="n">
        <x:f>(O32+P32)/2</x:f>
        <x:v>57552.926803224545</x:v>
      </x:c>
      <x:c r="R32" t="n">
        <x:f>SQRT($B$12*Q32/($B$10*$B$13))</x:f>
        <x:v>0.0007107038635531843</x:v>
      </x:c>
      <x:c r="S32" t="n">
        <x:f>SQRT($B$12*Q32/($B$11*$B$14))</x:f>
        <x:v>0.0020455374122563806</x:v>
      </x:c>
      <x:c r="T32" t="n">
        <x:f>$B$12*Q32*$B$9*SIN(R32*$B$7)*SIN(S32*$B$8)-3*$B$11*$B$14*R32*COS(R32*$B$7)*SIN(S32*$B$8)-3*$B$11*$B$14*S32*COS(S32*$B$8)*SIN(R32*$B$7)</x:f>
        <x:v>95.94068694859743</x:v>
      </x:c>
      <x:c r="U32" t="n">
        <x:f>P32-O32</x:f>
        <x:v>0.12483230992802419</x:v>
      </x:c>
    </x:row>
    <x:row r="33">
      <x:c r="A33" t="n">
        <x:f>A32+1</x:f>
        <x:v>16</x:v>
      </x:c>
      <x:c r="B33" t="n">
        <x:f>10^(9*A33/299)</x:f>
        <x:v>3.0311355015675785</x:v>
      </x:c>
      <x:c r="C33" t="n">
        <x:f>SQRT($B$12*B33/($B$10*$B$13))</x:f>
        <x:v>0.000005157718612983205</x:v>
      </x:c>
      <x:c r="D33" t="n">
        <x:f>SQRT($B$12*B33/($B$11*$B$14))</x:f>
        <x:v>0.000014844869889973126</x:v>
      </x:c>
      <x:c r="E33" t="n">
        <x:f>SIN(C33*$B$7)</x:f>
        <x:v>0.004126163182155749</x:v>
      </x:c>
      <x:c r="F33" t="n">
        <x:f>COS(C33*$B$7)</x:f>
        <x:v>0.9999914873524646</x:v>
      </x:c>
      <x:c r="G33" t="n">
        <x:f>SIN(D33*$B$8)</x:f>
        <x:v>0.014844324668250147</x:v>
      </x:c>
      <x:c r="H33" t="n">
        <x:f>COS(D33*$B$8)</x:f>
        <x:v>0.9998898169424187</x:v>
      </x:c>
      <x:c r="I33" t="n">
        <x:f>$B$12*B33*$B$9*E33*G33-3*$B$11*$B$14*C33*F33*G33-3*$B$11*$B$14*D33*H33*E33</x:f>
        <x:v>-17059.577179657805</x:v>
      </x:c>
      <x:c r="J33" t="n">
        <x:f>IF(AND(I32&lt;0,I33&gt;=0),1,0)</x:f>
        <x:v>0</x:v>
      </x:c>
      <x:c r="N33" t="n">
        <x:f>N32+1</x:f>
        <x:v>17</x:v>
      </x:c>
      <x:c r="O33" t="n">
        <x:f>IF(T32&lt;0,Q32,O32)</x:f>
        <x:v>57552.86438706958</x:v>
      </x:c>
      <x:c r="P33" t="n">
        <x:f>IF(T32&lt;0,P32,Q32)</x:f>
        <x:v>57552.926803224545</x:v>
      </x:c>
      <x:c r="Q33" t="n">
        <x:f>(O33+P33)/2</x:f>
        <x:v>57552.89559514706</x:v>
      </x:c>
      <x:c r="R33" t="n">
        <x:f>SQRT($B$12*Q33/($B$10*$B$13))</x:f>
        <x:v>0.0007107036708635551</x:v>
      </x:c>
      <x:c r="S33" t="n">
        <x:f>SQRT($B$12*Q33/($B$11*$B$14))</x:f>
        <x:v>0.0020455368576599224</x:v>
      </x:c>
      <x:c r="T33" t="n">
        <x:f>$B$12*Q33*$B$9*SIN(R33*$B$7)*SIN(S33*$B$8)-3*$B$11*$B$14*R33*COS(R33*$B$7)*SIN(S33*$B$8)-3*$B$11*$B$14*S33*COS(S33*$B$8)*SIN(R33*$B$7)</x:f>
        <x:v>-12.45914926379919</x:v>
      </x:c>
      <x:c r="U33" t="n">
        <x:f>P33-O33</x:f>
        <x:v>0.062416154964012094</x:v>
      </x:c>
    </x:row>
    <x:row r="34">
      <x:c r="A34" t="n">
        <x:f>A33+1</x:f>
        <x:v>17</x:v>
      </x:c>
      <x:c r="B34" t="n">
        <x:f>10^(9*A34/299)</x:f>
        <x:v>3.248670655878376</x:v>
      </x:c>
      <x:c r="C34" t="n">
        <x:f>SQRT($B$12*B34/($B$10*$B$13))</x:f>
        <x:v>0.000005339588783415655</x:v>
      </x:c>
      <x:c r="D34" t="n">
        <x:f>SQRT($B$12*B34/($B$11*$B$14))</x:f>
        <x:v>0.000015368325940898592</x:v>
      </x:c>
      <x:c r="E34" t="n">
        <x:f>SIN(C34*$B$7)</x:f>
        <x:v>0.004271658035757416</x:v>
      </x:c>
      <x:c r="F34" t="n">
        <x:f>COS(C34*$B$7)</x:f>
        <x:v>0.999990876427193</x:v>
      </x:c>
      <x:c r="G34" t="n">
        <x:f>SIN(D34*$B$8)</x:f>
        <x:v>0.015367720985566281</x:v>
      </x:c>
      <x:c r="H34" t="n">
        <x:f>COS(D34*$B$8)</x:f>
        <x:v>0.999881909603184</x:v>
      </x:c>
      <x:c r="I34" t="n">
        <x:f>$B$12*B34*$B$9*E34*G34-3*$B$11*$B$14*C34*F34*G34-3*$B$11*$B$14*D34*H34*E34</x:f>
        <x:v>-18283.7891291515</x:v>
      </x:c>
      <x:c r="J34" t="n">
        <x:f>IF(AND(I33&lt;0,I34&gt;=0),1,0)</x:f>
        <x:v>0</x:v>
      </x:c>
      <x:c r="N34" t="n">
        <x:f>N33+1</x:f>
        <x:v>18</x:v>
      </x:c>
      <x:c r="O34" t="n">
        <x:f>IF(T33&lt;0,Q33,O33)</x:f>
        <x:v>57552.89559514706</x:v>
      </x:c>
      <x:c r="P34" t="n">
        <x:f>IF(T33&lt;0,P33,Q33)</x:f>
        <x:v>57552.926803224545</x:v>
      </x:c>
      <x:c r="Q34" t="n">
        <x:f>(O34+P34)/2</x:f>
        <x:v>57552.91119918581</x:v>
      </x:c>
      <x:c r="R34" t="n">
        <x:f>SQRT($B$12*Q34/($B$10*$B$13))</x:f>
        <x:v>0.0007107037672083762</x:v>
      </x:c>
      <x:c r="S34" t="n">
        <x:f>SQRT($B$12*Q34/($B$11*$B$14))</x:f>
        <x:v>0.00204553713495817</x:v>
      </x:c>
      <x:c r="T34" t="n">
        <x:f>$B$12*Q34*$B$9*SIN(R34*$B$7)*SIN(S34*$B$8)-3*$B$11*$B$14*R34*COS(R34*$B$7)*SIN(S34*$B$8)-3*$B$11*$B$14*S34*COS(S34*$B$8)*SIN(R34*$B$7)</x:f>
        <x:v>41.74076160043478</x:v>
      </x:c>
      <x:c r="U34" t="n">
        <x:f>P34-O34</x:f>
        <x:v>0.031208077482006047</x:v>
      </x:c>
    </x:row>
    <x:row r="35">
      <x:c r="A35" t="n">
        <x:f>A34+1</x:f>
        <x:v>18</x:v>
      </x:c>
      <x:c r="B35" t="n">
        <x:f>10^(9*A35/299)</x:f>
        <x:v>3.4818176306889654</x:v>
      </x:c>
      <x:c r="C35" t="n">
        <x:f>SQRT($B$12*B35/($B$10*$B$13))</x:f>
        <x:v>0.000005527872013841309</x:v>
      </x:c>
      <x:c r="D35" t="n">
        <x:f>SQRT($B$12*B35/($B$11*$B$14))</x:f>
        <x:v>0.000015910239966820224</x:v>
      </x:c>
      <x:c r="E35" t="n">
        <x:f>SIN(C35*$B$7)</x:f>
        <x:v>0.004422283196817282</x:v>
      </x:c>
      <x:c r="F35" t="n">
        <x:f>COS(C35*$B$7)</x:f>
        <x:v>0.9999902216578556</x:v>
      </x:c>
      <x:c r="G35" t="n">
        <x:f>SIN(D35*$B$8)</x:f>
        <x:v>0.01590956873359914</x:v>
      </x:c>
      <x:c r="H35" t="n">
        <x:f>COS(D35*$B$8)</x:f>
        <x:v>0.9998734348019808</x:v>
      </x:c>
      <x:c r="I35" t="n">
        <x:f>$B$12*B35*$B$9*E35*G35-3*$B$11*$B$14*C35*F35*G35-3*$B$11*$B$14*D35*H35*E35</x:f>
        <x:v>-19595.843974555508</x:v>
      </x:c>
      <x:c r="J35" t="n">
        <x:f>IF(AND(I34&lt;0,I35&gt;=0),1,0)</x:f>
        <x:v>0</x:v>
      </x:c>
      <x:c r="N35" t="n">
        <x:f>N34+1</x:f>
        <x:v>19</x:v>
      </x:c>
      <x:c r="O35" t="n">
        <x:f>IF(T34&lt;0,Q34,O34)</x:f>
        <x:v>57552.89559514706</x:v>
      </x:c>
      <x:c r="P35" t="n">
        <x:f>IF(T34&lt;0,P34,Q34)</x:f>
        <x:v>57552.91119918581</x:v>
      </x:c>
      <x:c r="Q35" t="n">
        <x:f>(O35+P35)/2</x:f>
        <x:v>57552.90339716643</x:v>
      </x:c>
      <x:c r="R35" t="n">
        <x:f>SQRT($B$12*Q35/($B$10*$B$13))</x:f>
        <x:v>0.0007107037190359673</x:v>
      </x:c>
      <x:c r="S35" t="n">
        <x:f>SQRT($B$12*Q35/($B$11*$B$14))</x:f>
        <x:v>0.002045536996309051</x:v>
      </x:c>
      <x:c r="T35" t="n">
        <x:f>$B$12*Q35*$B$9*SIN(R35*$B$7)*SIN(S35*$B$8)-3*$B$11*$B$14*R35*COS(R35*$B$7)*SIN(S35*$B$8)-3*$B$11*$B$14*S35*COS(S35*$B$8)*SIN(R35*$B$7)</x:f>
        <x:v>14.640804424881935</x:v>
      </x:c>
      <x:c r="U35" t="n">
        <x:f>P35-O35</x:f>
        <x:v>0.015604038744641002</x:v>
      </x:c>
    </x:row>
    <x:row r="36">
      <x:c r="A36" t="n">
        <x:f>A35+1</x:f>
        <x:v>19</x:v>
      </x:c>
      <x:c r="B36" t="n">
        <x:f>10^(9*A36/299)</x:f>
        <x:v>3.731696837732753</x:v>
      </x:c>
      <x:c r="C36" t="n">
        <x:f>SQRT($B$12*B36/($B$10*$B$13))</x:f>
        <x:v>0.000005722794439961139</x:v>
      </x:c>
      <x:c r="D36" t="n">
        <x:f>SQRT($B$12*B36/($B$11*$B$14))</x:f>
        <x:v>0.00001647126282818821</x:v>
      </x:c>
      <x:c r="E36" t="n">
        <x:f>SIN(C36*$B$7)</x:f>
        <x:v>0.004578219558499094</x:v>
      </x:c>
      <x:c r="F36" t="n">
        <x:f>COS(C36*$B$7)</x:f>
        <x:v>0.9999895198979208</x:v>
      </x:c>
      <x:c r="G36" t="n">
        <x:f>SIN(D36*$B$8)</x:f>
        <x:v>0.016470518055829626</x:v>
      </x:c>
      <x:c r="H36" t="n">
        <x:f>COS(D36*$B$8)</x:f>
        <x:v>0.9998643518172715</x:v>
      </x:c>
      <x:c r="I36" t="n">
        <x:f>$B$12*B36*$B$9*E36*G36-3*$B$11*$B$14*C36*F36*G36-3*$B$11*$B$14*D36*H36*E36</x:f>
        <x:v>-21002.043699284648</x:v>
      </x:c>
      <x:c r="J36" t="n">
        <x:f>IF(AND(I35&lt;0,I36&gt;=0),1,0)</x:f>
        <x:v>0</x:v>
      </x:c>
      <x:c r="N36" t="n">
        <x:f>N35+1</x:f>
        <x:v>20</x:v>
      </x:c>
      <x:c r="O36" t="n">
        <x:f>IF(T35&lt;0,Q35,O35)</x:f>
        <x:v>57552.89559514706</x:v>
      </x:c>
      <x:c r="P36" t="n">
        <x:f>IF(T35&lt;0,P35,Q35)</x:f>
        <x:v>57552.90339716643</x:v>
      </x:c>
      <x:c r="Q36" t="n">
        <x:f>(O36+P36)/2</x:f>
        <x:v>57552.89949615675</x:v>
      </x:c>
      <x:c r="R36" t="n">
        <x:f>SQRT($B$12*Q36/($B$10*$B$13))</x:f>
        <x:v>0.0007107036949497616</x:v>
      </x:c>
      <x:c r="S36" t="n">
        <x:f>SQRT($B$12*Q36/($B$11*$B$14))</x:f>
        <x:v>0.002045536926984488</x:v>
      </x:c>
      <x:c r="T36" t="n">
        <x:f>$B$12*Q36*$B$9*SIN(R36*$B$7)*SIN(S36*$B$8)-3*$B$11*$B$14*R36*COS(R36*$B$7)*SIN(S36*$B$8)-3*$B$11*$B$14*S36*COS(S36*$B$8)*SIN(R36*$B$7)</x:f>
        <x:v>1.0908271670341492</x:v>
      </x:c>
      <x:c r="U36" t="n">
        <x:f>P36-O36</x:f>
        <x:v>0.007802019368682522</x:v>
      </x:c>
    </x:row>
    <x:row r="37">
      <x:c r="A37" t="n">
        <x:f>A36+1</x:f>
        <x:v>20</x:v>
      </x:c>
      <x:c r="B37" t="n">
        <x:f>10^(9*A37/299)</x:f>
        <x:v>3.9995090972036653</x:v>
      </x:c>
      <x:c r="C37" t="n">
        <x:f>SQRT($B$12*B37/($B$10*$B$13))</x:f>
        <x:v>0.00000592459017141606</x:v>
      </x:c>
      <x:c r="D37" t="n">
        <x:f>SQRT($B$12*B37/($B$11*$B$14))</x:f>
        <x:v>0.000017052068335929474</x:v>
      </x:c>
      <x:c r="E37" t="n">
        <x:f>SIN(C37*$B$7)</x:f>
        <x:v>0.004739654391431671</x:v>
      </x:c>
      <x:c r="F37" t="n">
        <x:f>COS(C37*$B$7)</x:f>
        <x:v>0.9999887677750434</x:v>
      </x:c>
      <x:c r="G37" t="n">
        <x:f>SIN(D37*$B$8)</x:f>
        <x:v>0.017051241967667996</x:v>
      </x:c>
      <x:c r="H37" t="n">
        <x:f>COS(D37*$B$8)</x:f>
        <x:v>0.9998546170055724</x:v>
      </x:c>
      <x:c r="I37" t="n">
        <x:f>$B$12*B37*$B$9*E37*G37-3*$B$11*$B$14*C37*F37*G37-3*$B$11*$B$14*D37*H37*E37</x:f>
        <x:v>-22509.142229279518</x:v>
      </x:c>
      <x:c r="J37" t="n">
        <x:f>IF(AND(I36&lt;0,I37&gt;=0),1,0)</x:f>
        <x:v>0</x:v>
      </x:c>
      <x:c r="N37" t="n">
        <x:f>N36+1</x:f>
        <x:v>21</x:v>
      </x:c>
      <x:c r="O37" t="n">
        <x:f>IF(T36&lt;0,Q36,O36)</x:f>
        <x:v>57552.89559514706</x:v>
      </x:c>
      <x:c r="P37" t="n">
        <x:f>IF(T36&lt;0,P36,Q36)</x:f>
        <x:v>57552.89949615675</x:v>
      </x:c>
      <x:c r="Q37" t="n">
        <x:f>(O37+P37)/2</x:f>
        <x:v>57552.89754565191</x:v>
      </x:c>
      <x:c r="R37" t="n">
        <x:f>SQRT($B$12*Q37/($B$10*$B$13))</x:f>
        <x:v>0.0007107036829066584</x:v>
      </x:c>
      <x:c r="S37" t="n">
        <x:f>SQRT($B$12*Q37/($B$11*$B$14))</x:f>
        <x:v>0.0020455368923222054</x:v>
      </x:c>
      <x:c r="T37" t="n">
        <x:f>$B$12*Q37*$B$9*SIN(R37*$B$7)*SIN(S37*$B$8)-3*$B$11*$B$14*R37*COS(R37*$B$7)*SIN(S37*$B$8)-3*$B$11*$B$14*S37*COS(S37*$B$8)*SIN(R37*$B$7)</x:f>
        <x:v>-5.684161201119423</x:v>
      </x:c>
      <x:c r="U37" t="n">
        <x:f>P37-O37</x:f>
        <x:v>0.00390100968797924</x:v>
      </x:c>
    </x:row>
    <x:row r="38">
      <x:c r="A38" t="n">
        <x:f>A37+1</x:f>
        <x:v>21</x:v>
      </x:c>
      <x:c r="B38" t="n">
        <x:f>10^(9*A38/299)</x:f>
        <x:v>4.286541408420927</x:v>
      </x:c>
      <x:c r="C38" t="n">
        <x:f>SQRT($B$12*B38/($B$10*$B$13))</x:f>
        <x:v>0.0000061335015729619906</x:v>
      </x:c>
      <x:c r="D38" t="n">
        <x:f>SQRT($B$12*B38/($B$11*$B$14))</x:f>
        <x:v>0.000017653354060721563</x:v>
      </x:c>
      <x:c r="E38" t="n">
        <x:f>SIN(C38*$B$7)</x:f>
        <x:v>0.00490678156846414</x:v>
      </x:c>
      <x:c r="F38" t="n">
        <x:f>COS(C38*$B$7)</x:f>
        <x:v>0.999987961674859</x:v>
      </x:c>
      <x:c r="G38" t="n">
        <x:f>SIN(D38*$B$8)</x:f>
        <x:v>0.01765243715712277</x:v>
      </x:c>
      <x:c r="H38" t="n">
        <x:f>COS(D38*$B$8)</x:f>
        <x:v>0.9998441835918304</x:v>
      </x:c>
      <x:c r="I38" t="n">
        <x:f>$B$12*B38*$B$9*E38*G38-3*$B$11*$B$14*C38*F38*G38-3*$B$11*$B$14*D38*H38*E38</x:f>
        <x:v>-24124.377818274505</x:v>
      </x:c>
      <x:c r="J38" t="n">
        <x:f>IF(AND(I37&lt;0,I38&gt;=0),1,0)</x:f>
        <x:v>0</x:v>
      </x:c>
      <x:c r="N38" t="n">
        <x:f>N37+1</x:f>
        <x:v>22</x:v>
      </x:c>
      <x:c r="O38" t="n">
        <x:f>IF(T37&lt;0,Q37,O37)</x:f>
        <x:v>57552.89754565191</x:v>
      </x:c>
      <x:c r="P38" t="n">
        <x:f>IF(T37&lt;0,P37,Q37)</x:f>
        <x:v>57552.89949615675</x:v>
      </x:c>
      <x:c r="Q38" t="n">
        <x:f>(O38+P38)/2</x:f>
        <x:v>57552.89852090433</x:v>
      </x:c>
      <x:c r="R38" t="n">
        <x:f>SQRT($B$12*Q38/($B$10*$B$13))</x:f>
        <x:v>0.00071070368892821</x:v>
      </x:c>
      <x:c r="S38" t="n">
        <x:f>SQRT($B$12*Q38/($B$11*$B$14))</x:f>
        <x:v>0.0020455369096533467</x:v>
      </x:c>
      <x:c r="T38" t="n">
        <x:f>$B$12*Q38*$B$9*SIN(R38*$B$7)*SIN(S38*$B$8)-3*$B$11*$B$14*R38*COS(R38*$B$7)*SIN(S38*$B$8)-3*$B$11*$B$14*S38*COS(S38*$B$8)*SIN(R38*$B$7)</x:f>
        <x:v>-2.296667069196701</x:v>
      </x:c>
      <x:c r="U38" t="n">
        <x:f>P38-O38</x:f>
        <x:v>0.0019505048403516412</x:v>
      </x:c>
    </x:row>
    <x:row r="39">
      <x:c r="A39" t="n">
        <x:f>A38+1</x:f>
        <x:v>22</x:v>
      </x:c>
      <x:c r="B39" t="n">
        <x:f>10^(9*A39/299)</x:f>
        <x:v>4.594173134636477</x:v>
      </x:c>
      <x:c r="C39" t="n">
        <x:f>SQRT($B$12*B39/($B$10*$B$13))</x:f>
        <x:v>0.000006349779555559629</x:v>
      </x:c>
      <x:c r="D39" t="n">
        <x:f>SQRT($B$12*B39/($B$11*$B$14))</x:f>
        <x:v>0.000018275842170803008</x:v>
      </x:c>
      <x:c r="E39" t="n">
        <x:f>SIN(C39*$B$7)</x:f>
        <x:v>0.0050798017973326965</x:v>
      </x:c>
      <x:c r="F39" t="n">
        <x:f>COS(C39*$B$7)</x:f>
        <x:v>0.9999870977236155</x:v>
      </x:c>
      <x:c r="G39" t="n">
        <x:f>SIN(D39*$B$8)</x:f>
        <x:v>0.01827482481306347</x:v>
      </x:c>
      <x:c r="H39" t="n">
        <x:f>COS(D39*$B$8)</x:f>
        <x:v>0.9998330014447672</x:v>
      </x:c>
      <x:c r="I39" t="n">
        <x:f>$B$12*B39*$B$9*E39*G39-3*$B$11*$B$14*C39*F39*G39-3*$B$11*$B$14*D39*H39*E39</x:f>
        <x:v>-25855.507749935452</x:v>
      </x:c>
      <x:c r="J39" t="n">
        <x:f>IF(AND(I38&lt;0,I39&gt;=0),1,0)</x:f>
        <x:v>0</x:v>
      </x:c>
      <x:c r="N39" t="n">
        <x:f>N38+1</x:f>
        <x:v>23</x:v>
      </x:c>
      <x:c r="O39" t="n">
        <x:f>IF(T38&lt;0,Q38,O38)</x:f>
        <x:v>57552.89852090433</x:v>
      </x:c>
      <x:c r="P39" t="n">
        <x:f>IF(T38&lt;0,P38,Q38)</x:f>
        <x:v>57552.89949615675</x:v>
      </x:c>
      <x:c r="Q39" t="n">
        <x:f>(O39+P39)/2</x:f>
        <x:v>57552.89900853054</x:v>
      </x:c>
      <x:c r="R39" t="n">
        <x:f>SQRT($B$12*Q39/($B$10*$B$13))</x:f>
        <x:v>0.0007107036919389858</x:v>
      </x:c>
      <x:c r="S39" t="n">
        <x:f>SQRT($B$12*Q39/($B$11*$B$14))</x:f>
        <x:v>0.0020455369183189176</x:v>
      </x:c>
      <x:c r="T39" t="n">
        <x:f>$B$12*Q39*$B$9*SIN(R39*$B$7)*SIN(S39*$B$8)-3*$B$11*$B$14*R39*COS(R39*$B$7)*SIN(S39*$B$8)-3*$B$11*$B$14*S39*COS(S39*$B$8)*SIN(R39*$B$7)</x:f>
        <x:v>-0.602919913828373</x:v>
      </x:c>
      <x:c r="U39" t="n">
        <x:f>P39-O39</x:f>
        <x:v>0.0009752524201758206</x:v>
      </x:c>
    </x:row>
    <x:row r="40">
      <x:c r="A40" t="n">
        <x:f>A39+1</x:f>
        <x:v>23</x:v>
      </x:c>
      <x:c r="B40" t="n">
        <x:f>10^(9*A40/299)</x:f>
        <x:v>4.923882631706739</x:v>
      </x:c>
      <x:c r="C40" t="n">
        <x:f>SQRT($B$12*B40/($B$10*$B$13))</x:f>
        <x:v>0.000006573683877728565</x:v>
      </x:c>
      <x:c r="D40" t="n">
        <x:f>SQRT($B$12*B40/($B$11*$B$14))</x:f>
        <x:v>0.000018920280299326273</x:v>
      </x:c>
      <x:c r="E40" t="n">
        <x:f>SIN(C40*$B$7)</x:f>
        <x:v>0.005258922861516369</x:v>
      </x:c>
      <x:c r="F40" t="n">
        <x:f>COS(C40*$B$7)</x:f>
        <x:v>0.9999861717695583</x:v>
      </x:c>
      <x:c r="G40" t="n">
        <x:f>SIN(D40*$B$8)</x:f>
        <x:v>0.018919151481980048</x:v>
      </x:c>
      <x:c r="H40" t="n">
        <x:f>COS(D40*$B$8)</x:f>
        <x:v>0.9998210168361145</x:v>
      </x:c>
      <x:c r="I40" t="n">
        <x:f>$B$12*B40*$B$9*E40*G40-3*$B$11*$B$14*C40*F40*G40-3*$B$11*$B$14*D40*H40*E40</x:f>
        <x:v>-27710.845522053234</x:v>
      </x:c>
      <x:c r="J40" t="n">
        <x:f>IF(AND(I39&lt;0,I40&gt;=0),1,0)</x:f>
        <x:v>0</x:v>
      </x:c>
      <x:c r="N40" t="n">
        <x:f>N39+1</x:f>
        <x:v>24</x:v>
      </x:c>
      <x:c r="O40" t="n">
        <x:f>IF(T39&lt;0,Q39,O39)</x:f>
        <x:v>57552.89900853054</x:v>
      </x:c>
      <x:c r="P40" t="n">
        <x:f>IF(T39&lt;0,P39,Q39)</x:f>
        <x:v>57552.89949615675</x:v>
      </x:c>
      <x:c r="Q40" t="n">
        <x:f>(O40+P40)/2</x:f>
        <x:v>57552.89925234365</x:v>
      </x:c>
      <x:c r="R40" t="n">
        <x:f>SQRT($B$12*Q40/($B$10*$B$13))</x:f>
        <x:v>0.0007107036934443738</x:v>
      </x:c>
      <x:c r="S40" t="n">
        <x:f>SQRT($B$12*Q40/($B$11*$B$14))</x:f>
        <x:v>0.0020455369226517026</x:v>
      </x:c>
      <x:c r="T40" t="n">
        <x:f>$B$12*Q40*$B$9*SIN(R40*$B$7)*SIN(S40*$B$8)-3*$B$11*$B$14*R40*COS(R40*$B$7)*SIN(S40*$B$8)-3*$B$11*$B$14*S40*COS(S40*$B$8)*SIN(R40*$B$7)</x:f>
        <x:v>0.24395354092121124</x:v>
      </x:c>
      <x:c r="U40" t="n">
        <x:f>P40-O40</x:f>
        <x:v>0.0004876262100879103</x:v>
      </x:c>
    </x:row>
    <x:row r="41">
      <x:c r="A41" t="n">
        <x:f>A40+1</x:f>
        <x:v>24</x:v>
      </x:c>
      <x:c r="B41" t="n">
        <x:f>10^(9*A41/299)</x:f>
        <x:v>5.277254352483538</x:v>
      </x:c>
      <x:c r="C41" t="n">
        <x:f>SQRT($B$12*B41/($B$10*$B$13))</x:f>
        <x:v>0.000006805483457527672</x:v>
      </x:c>
      <x:c r="D41" t="n">
        <x:f>SQRT($B$12*B41/($B$11*$B$14))</x:f>
        <x:v>0.00001958744244229512</x:v>
      </x:c>
      <x:c r="E41" t="n">
        <x:f>SIN(C41*$B$7)</x:f>
        <x:v>0.005444359869568876</x:v>
      </x:c>
      <x:c r="F41" t="n">
        <x:f>COS(C41*$B$7)</x:f>
        <x:v>0.9999851793629797</x:v>
      </x:c>
      <x:c r="G41" t="n">
        <x:f>SIN(D41*$B$8)</x:f>
        <x:v>0.0195861899541663</x:v>
      </x:c>
      <x:c r="H41" t="n">
        <x:f>COS(D41*$B$8)</x:f>
        <x:v>0.9998081721825839</x:v>
      </x:c>
      <x:c r="I41" t="n">
        <x:f>$B$12*B41*$B$9*E41*G41-3*$B$11*$B$14*C41*F41*G41-3*$B$11*$B$14*D41*H41*E41</x:f>
        <x:v>-29699.30068967292</x:v>
      </x:c>
      <x:c r="J41" t="n">
        <x:f>IF(AND(I40&lt;0,I41&gt;=0),1,0)</x:f>
        <x:v>0</x:v>
      </x:c>
      <x:c r="N41" t="n">
        <x:f>N40+1</x:f>
        <x:v>25</x:v>
      </x:c>
      <x:c r="O41" t="n">
        <x:f>IF(T40&lt;0,Q40,O40)</x:f>
        <x:v>57552.89900853054</x:v>
      </x:c>
      <x:c r="P41" t="n">
        <x:f>IF(T40&lt;0,P40,Q40)</x:f>
        <x:v>57552.89925234365</x:v>
      </x:c>
      <x:c r="Q41" t="n">
        <x:f>(O41+P41)/2</x:f>
        <x:v>57552.899130437094</x:v>
      </x:c>
      <x:c r="R41" t="n">
        <x:f>SQRT($B$12*Q41/($B$10*$B$13))</x:f>
        <x:v>0.0007107036926916798</x:v>
      </x:c>
      <x:c r="S41" t="n">
        <x:f>SQRT($B$12*Q41/($B$11*$B$14))</x:f>
        <x:v>0.00204553692048531</x:v>
      </x:c>
      <x:c r="T41" t="n">
        <x:f>$B$12*Q41*$B$9*SIN(R41*$B$7)*SIN(S41*$B$8)-3*$B$11*$B$14*R41*COS(R41*$B$7)*SIN(S41*$B$8)-3*$B$11*$B$14*S41*COS(S41*$B$8)*SIN(R41*$B$7)</x:f>
        <x:v>-0.17948319762945175</x:v>
      </x:c>
      <x:c r="U41" t="n">
        <x:f>P41-O41</x:f>
        <x:v>0.00024381310504395515</x:v>
      </x:c>
    </x:row>
    <x:row r="42">
      <x:c r="A42" t="n">
        <x:f>A41+1</x:f>
        <x:v>25</x:v>
      </x:c>
      <x:c r="B42" t="n">
        <x:f>10^(9*A42/299)</x:f>
        <x:v>5.655986461065006</x:v>
      </x:c>
      <x:c r="C42" t="n">
        <x:f>SQRT($B$12*B42/($B$10*$B$13))</x:f>
        <x:v>0.000007045456695536461</x:v>
      </x:c>
      <x:c r="D42" t="n">
        <x:f>SQRT($B$12*B42/($B$11*$B$14))</x:f>
        <x:v>0.000020278129888164827</x:v>
      </x:c>
      <x:c r="E42" t="n">
        <x:f>SIN(C42*$B$7)</x:f>
        <x:v>0.005636335513223606</x:v>
      </x:c>
      <x:c r="F42" t="n">
        <x:f>COS(C42*$B$7)</x:f>
        <x:v>0.9999841157348363</x:v>
      </x:c>
      <x:c r="G42" t="n">
        <x:f>SIN(D42*$B$8)</x:f>
        <x:v>0.020276740180278547</x:v>
      </x:c>
      <x:c r="H42" t="n">
        <x:f>COS(D42*$B$8)</x:f>
        <x:v>0.9997944057693369</x:v>
      </x:c>
      <x:c r="I42" t="n">
        <x:f>$B$12*B42*$B$9*E42*G42-3*$B$11*$B$14*C42*F42*G42-3*$B$11*$B$14*D42*H42*E42</x:f>
        <x:v>-31830.421556546244</x:v>
      </x:c>
      <x:c r="J42" t="n">
        <x:f>IF(AND(I41&lt;0,I42&gt;=0),1,0)</x:f>
        <x:v>0</x:v>
      </x:c>
      <x:c r="N42" t="n">
        <x:f>N41+1</x:f>
        <x:v>26</x:v>
      </x:c>
      <x:c r="O42" t="n">
        <x:f>IF(T41&lt;0,Q41,O41)</x:f>
        <x:v>57552.899130437094</x:v>
      </x:c>
      <x:c r="P42" t="n">
        <x:f>IF(T41&lt;0,P41,Q41)</x:f>
        <x:v>57552.89925234365</x:v>
      </x:c>
      <x:c r="Q42" t="n">
        <x:f>(O42+P42)/2</x:f>
        <x:v>57552.899191390374</x:v>
      </x:c>
      <x:c r="R42" t="n">
        <x:f>SQRT($B$12*Q42/($B$10*$B$13))</x:f>
        <x:v>0.0007107036930680267</x:v>
      </x:c>
      <x:c r="S42" t="n">
        <x:f>SQRT($B$12*Q42/($B$11*$B$14))</x:f>
        <x:v>0.0020455369215685065</x:v>
      </x:c>
      <x:c r="T42" t="n">
        <x:f>$B$12*Q42*$B$9*SIN(R42*$B$7)*SIN(S42*$B$8)-3*$B$11*$B$14*R42*COS(R42*$B$7)*SIN(S42*$B$8)-3*$B$11*$B$14*S42*COS(S42*$B$8)*SIN(R42*$B$7)</x:f>
        <x:v>0.03223526477813721</x:v>
      </x:c>
      <x:c r="U42" t="n">
        <x:f>P42-O42</x:f>
        <x:v>0.00012190655252197757</x:v>
      </x:c>
    </x:row>
    <x:row r="43">
      <x:c r="A43" t="n">
        <x:f>A42+1</x:f>
        <x:v>26</x:v>
      </x:c>
      <x:c r="B43" t="n">
        <x:f>10^(9*A43/299)</x:f>
        <x:v>6.061898993497573</x:v>
      </x:c>
      <x:c r="C43" t="n">
        <x:f>SQRT($B$12*B43/($B$10*$B$13))</x:f>
        <x:v>0.000007293891809225327</x:v>
      </x:c>
      <x:c r="D43" t="n">
        <x:f>SQRT($B$12*B43/($B$11*$B$14))</x:f>
        <x:v>0.000020993172180221697</x:v>
      </x:c>
      <x:c r="E43" t="n">
        <x:f>SIN(C43*$B$7)</x:f>
        <x:v>0.005835080334578999</x:v>
      </x:c>
      <x:c r="F43" t="n">
        <x:f>COS(C43*$B$7)</x:f>
        <x:v>0.9999829757738323</x:v>
      </x:c>
      <x:c r="G43" t="n">
        <x:f>SIN(D43*$B$8)</x:f>
        <x:v>0.020991630219245036</x:v>
      </x:c>
      <x:c r="H43" t="n">
        <x:f>COS(D43*$B$8)</x:f>
        <x:v>0.9997796514536283</x:v>
      </x:c>
      <x:c r="I43" t="n">
        <x:f>$B$12*B43*$B$9*E43*G43-3*$B$11*$B$14*C43*F43*G43-3*$B$11*$B$14*D43*H43*E43</x:f>
        <x:v>-34114.44091767351</x:v>
      </x:c>
      <x:c r="J43" t="n">
        <x:f>IF(AND(I42&lt;0,I43&gt;=0),1,0)</x:f>
        <x:v>0</x:v>
      </x:c>
      <x:c r="N43" t="n">
        <x:f>N42+1</x:f>
        <x:v>27</x:v>
      </x:c>
      <x:c r="O43" t="n">
        <x:f>IF(T42&lt;0,Q42,O42)</x:f>
        <x:v>57552.899130437094</x:v>
      </x:c>
      <x:c r="P43" t="n">
        <x:f>IF(T42&lt;0,P42,Q42)</x:f>
        <x:v>57552.899191390374</x:v>
      </x:c>
      <x:c r="Q43" t="n">
        <x:f>(O43+P43)/2</x:f>
        <x:v>57552.89916091373</x:v>
      </x:c>
      <x:c r="R43" t="n">
        <x:f>SQRT($B$12*Q43/($B$10*$B$13))</x:f>
        <x:v>0.0007107036928798532</x:v>
      </x:c>
      <x:c r="S43" t="n">
        <x:f>SQRT($B$12*Q43/($B$11*$B$14))</x:f>
        <x:v>0.0020455369210269085</x:v>
      </x:c>
      <x:c r="T43" t="n">
        <x:f>$B$12*Q43*$B$9*SIN(R43*$B$7)*SIN(S43*$B$8)-3*$B$11*$B$14*R43*COS(R43*$B$7)*SIN(S43*$B$8)-3*$B$11*$B$14*S43*COS(S43*$B$8)*SIN(R43*$B$7)</x:f>
        <x:v>-0.07362395524978638</x:v>
      </x:c>
      <x:c r="U43" t="n">
        <x:f>P43-O43</x:f>
        <x:v>0.000060953279898967594</x:v>
      </x:c>
    </x:row>
    <x:row r="44">
      <x:c r="A44" t="n">
        <x:f>A43+1</x:f>
        <x:v>27</x:v>
      </x:c>
      <x:c r="B44" t="n">
        <x:f>10^(9*A44/299)</x:f>
        <x:v>6.496942604146123</x:v>
      </x:c>
      <x:c r="C44" t="n">
        <x:f>SQRT($B$12*B44/($B$10*$B$13))</x:f>
        <x:v>0.000007551087179116277</x:v>
      </x:c>
      <x:c r="D44" t="n">
        <x:f>SQRT($B$12*B44/($B$11*$B$14))</x:f>
        <x:v>0.00002173342811289778</x:v>
      </x:c>
      <x:c r="E44" t="n">
        <x:f>SIN(C44*$B$7)</x:f>
        <x:v>0.006040833002682294</x:v>
      </x:c>
      <x:c r="F44" t="n">
        <x:f>COS(C44*$B$7)</x:f>
        <x:v>0.9999817540018586</x:v>
      </x:c>
      <x:c r="G44" t="n">
        <x:f>SIN(D44*$B$8)</x:f>
        <x:v>0.02173171721852549</x:v>
      </x:c>
      <x:c r="H44" t="n">
        <x:f>COS(D44*$B$8)</x:f>
        <x:v>0.999763838347204</x:v>
      </x:c>
      <x:c r="I44" t="n">
        <x:f>$B$12*B44*$B$9*E44*G44-3*$B$11*$B$14*C44*F44*G44-3*$B$11*$B$14*D44*H44*E44</x:f>
        <x:v>-36562.32507000821</x:v>
      </x:c>
      <x:c r="J44" t="n">
        <x:f>IF(AND(I43&lt;0,I44&gt;=0),1,0)</x:f>
        <x:v>0</x:v>
      </x:c>
      <x:c r="N44" t="n">
        <x:f>N43+1</x:f>
        <x:v>28</x:v>
      </x:c>
      <x:c r="O44" t="n">
        <x:f>IF(T43&lt;0,Q43,O43)</x:f>
        <x:v>57552.89916091373</x:v>
      </x:c>
      <x:c r="P44" t="n">
        <x:f>IF(T43&lt;0,P43,Q43)</x:f>
        <x:v>57552.899191390374</x:v>
      </x:c>
      <x:c r="Q44" t="n">
        <x:f>(O44+P44)/2</x:f>
        <x:v>57552.89917615205</x:v>
      </x:c>
      <x:c r="R44" t="n">
        <x:f>SQRT($B$12*Q44/($B$10*$B$13))</x:f>
        <x:v>0.00071070369297394</x:v>
      </x:c>
      <x:c r="S44" t="n">
        <x:f>SQRT($B$12*Q44/($B$11*$B$14))</x:f>
        <x:v>0.0020455369212977075</x:v>
      </x:c>
      <x:c r="T44" t="n">
        <x:f>$B$12*Q44*$B$9*SIN(R44*$B$7)*SIN(S44*$B$8)-3*$B$11*$B$14*R44*COS(R44*$B$7)*SIN(S44*$B$8)-3*$B$11*$B$14*S44*COS(S44*$B$8)*SIN(R44*$B$7)</x:f>
        <x:v>-0.020694322884082794</x:v>
      </x:c>
      <x:c r="U44" t="n">
        <x:f>P44-O44</x:f>
        <x:v>0.000030476643587462604</x:v>
      </x:c>
    </x:row>
    <x:row r="45">
      <x:c r="A45" t="n">
        <x:f>A44+1</x:f>
        <x:v>28</x:v>
      </x:c>
      <x:c r="B45" t="n">
        <x:f>10^(9*A45/299)</x:f>
        <x:v>6.963207939763885</x:v>
      </x:c>
      <x:c r="C45" t="n">
        <x:f>SQRT($B$12*B45/($B$10*$B$13))</x:f>
        <x:v>0.000007817351707149893</x:v>
      </x:c>
      <x:c r="D45" t="n">
        <x:f>SQRT($B$12*B45/($B$11*$B$14))</x:f>
        <x:v>0.000022499786763217383</x:v>
      </x:c>
      <x:c r="E45" t="n">
        <x:f>SIN(C45*$B$7)</x:f>
        <x:v>0.006253840599840456</x:v>
      </x:c>
      <x:c r="F45" t="n">
        <x:f>COS(C45*$B$7)</x:f>
        <x:v>0.999980444547668</x:v>
      </x:c>
      <x:c r="G45" t="n">
        <x:f>SIN(D45*$B$8)</x:f>
        <x:v>0.022497888427743775</x:v>
      </x:c>
      <x:c r="H45" t="n">
        <x:f>COS(D45*$B$8)</x:f>
        <x:v>0.9997468904759308</x:v>
      </x:c>
      <x:c r="I45" t="n">
        <x:f>$B$12*B45*$B$9*E45*G45-3*$B$11*$B$14*C45*F45*G45-3*$B$11*$B$14*D45*H45*E45</x:f>
        <x:v>-39185.82632369422</x:v>
      </x:c>
      <x:c r="J45" t="n">
        <x:f>IF(AND(I44&lt;0,I45&gt;=0),1,0)</x:f>
        <x:v>0</x:v>
      </x:c>
      <x:c r="N45" t="n">
        <x:f>N44+1</x:f>
        <x:v>29</x:v>
      </x:c>
      <x:c r="O45" t="n">
        <x:f>IF(T44&lt;0,Q44,O44)</x:f>
        <x:v>57552.89917615205</x:v>
      </x:c>
      <x:c r="P45" t="n">
        <x:f>IF(T44&lt;0,P44,Q44)</x:f>
        <x:v>57552.899191390374</x:v>
      </x:c>
      <x:c r="Q45" t="n">
        <x:f>(O45+P45)/2</x:f>
        <x:v>57552.89918377121</x:v>
      </x:c>
      <x:c r="R45" t="n">
        <x:f>SQRT($B$12*Q45/($B$10*$B$13))</x:f>
        <x:v>0.0007107036930209833</x:v>
      </x:c>
      <x:c r="S45" t="n">
        <x:f>SQRT($B$12*Q45/($B$11*$B$14))</x:f>
        <x:v>0.002045536921433107</x:v>
      </x:c>
      <x:c r="T45" t="n">
        <x:f>$B$12*Q45*$B$9*SIN(R45*$B$7)*SIN(S45*$B$8)-3*$B$11*$B$14*R45*COS(R45*$B$7)*SIN(S45*$B$8)-3*$B$11*$B$14*S45*COS(S45*$B$8)*SIN(R45*$B$7)</x:f>
        <x:v>0.0057704150676727295</x:v>
      </x:c>
      <x:c r="U45" t="n">
        <x:f>P45-O45</x:f>
        <x:v>0.000015238321793731302</x:v>
      </x:c>
    </x:row>
    <x:row r="46">
      <x:c r="A46" t="n">
        <x:f>A45+1</x:f>
        <x:v>29</x:v>
      </x:c>
      <x:c r="B46" t="n">
        <x:f>10^(9*A46/299)</x:f>
        <x:v>7.462935686310136</x:v>
      </x:c>
      <x:c r="C46" t="n">
        <x:f>SQRT($B$12*B46/($B$10*$B$13))</x:f>
        <x:v>0.00000809300518768892</x:v>
      </x:c>
      <x:c r="D46" t="n">
        <x:f>SQRT($B$12*B46/($B$11*$B$14))</x:f>
        <x:v>0.000023293168558614185</x:v>
      </x:c>
      <x:c r="E46" t="n">
        <x:f>SIN(C46*$B$7)</x:f>
        <x:v>0.006474358917998498</x:v>
      </x:c>
      <x:c r="F46" t="n">
        <x:f>COS(C46*$B$7)</x:f>
        <x:v>0.9999790411186631</x:v>
      </x:c>
      <x:c r="G46" t="n">
        <x:f>SIN(D46*$B$8)</x:f>
        <x:v>0.023291062246739897</x:v>
      </x:c>
      <x:c r="H46" t="n">
        <x:f>COS(D46*$B$8)</x:f>
        <x:v>0.9997287264150303</x:v>
      </x:c>
      <x:c r="I46" t="n">
        <x:f>$B$12*B46*$B$9*E46*G46-3*$B$11*$B$14*C46*F46*G46-3*$B$11*$B$14*D46*H46*E46</x:f>
        <x:v>-41997.539262558996</x:v>
      </x:c>
      <x:c r="J46" t="n">
        <x:f>IF(AND(I45&lt;0,I46&gt;=0),1,0)</x:f>
        <x:v>0</x:v>
      </x:c>
      <x:c r="N46" t="n">
        <x:f>N45+1</x:f>
        <x:v>30</x:v>
      </x:c>
      <x:c r="O46" t="n">
        <x:f>IF(T45&lt;0,Q45,O45)</x:f>
        <x:v>57552.89917615205</x:v>
      </x:c>
      <x:c r="P46" t="n">
        <x:f>IF(T45&lt;0,P45,Q45)</x:f>
        <x:v>57552.89918377121</x:v>
      </x:c>
      <x:c r="Q46" t="n">
        <x:f>(O46+P46)/2</x:f>
        <x:v>57552.899179961634</x:v>
      </x:c>
      <x:c r="R46" t="n">
        <x:f>SQRT($B$12*Q46/($B$10*$B$13))</x:f>
        <x:v>0.0007107036929974616</x:v>
      </x:c>
      <x:c r="S46" t="n">
        <x:f>SQRT($B$12*Q46/($B$11*$B$14))</x:f>
        <x:v>0.0020455369213654073</x:v>
      </x:c>
      <x:c r="T46" t="n">
        <x:f>$B$12*Q46*$B$9*SIN(R46*$B$7)*SIN(S46*$B$8)-3*$B$11*$B$14*R46*COS(R46*$B$7)*SIN(S46*$B$8)-3*$B$11*$B$14*S46*COS(S46*$B$8)*SIN(R46*$B$7)</x:f>
        <x:v>-0.007461950182914734</x:v>
      </x:c>
      <x:c r="U46" t="n">
        <x:f>P46-O46</x:f>
        <x:v>0.000007619157258886844</x:v>
      </x:c>
    </x:row>
    <x:row r="47">
      <x:c r="A47" t="n">
        <x:f>A46+1</x:f>
        <x:v>30</x:v>
      </x:c>
      <x:c r="B47" t="n">
        <x:f>10^(9*A47/299)</x:f>
        <x:v>7.99852733679671</x:v>
      </x:c>
      <x:c r="C47" t="n">
        <x:f>SQRT($B$12*B47/($B$10*$B$13))</x:f>
        <x:v>0.000008378378691604125</x:v>
      </x:c>
      <x:c r="D47" t="n">
        <x:f>SQRT($B$12*B47/($B$11*$B$14))</x:f>
        <x:v>0.000024114526382401446</x:v>
      </x:c>
      <x:c r="E47" t="n">
        <x:f>SIN(C47*$B$7)</x:f>
        <x:v>0.006702652765537106</x:v>
      </x:c>
      <x:c r="F47" t="n">
        <x:f>COS(C47*$B$7)</x:f>
        <x:v>0.9999775369706585</x:v>
      </x:c>
      <x:c r="G47" t="n">
        <x:f>SIN(D47*$B$8)</x:f>
        <x:v>0.0241121893091101</x:v>
      </x:c>
      <x:c r="H47" t="n">
        <x:f>COS(D47*$B$8)</x:f>
        <x:v>0.9997092588981666</x:v>
      </x:c>
      <x:c r="I47" t="n">
        <x:f>$B$12*B47*$B$9*E47*G47-3*$B$11*$B$14*C47*F47*G47-3*$B$11*$B$14*D47*H47*E47</x:f>
        <x:v>-45010.96102006479</x:v>
      </x:c>
      <x:c r="J47" t="n">
        <x:f>IF(AND(I46&lt;0,I47&gt;=0),1,0)</x:f>
        <x:v>0</x:v>
      </x:c>
      <x:c r="N47" t="n">
        <x:f>N46+1</x:f>
        <x:v>31</x:v>
      </x:c>
      <x:c r="O47" t="n">
        <x:f>IF(T46&lt;0,Q46,O46)</x:f>
        <x:v>57552.899179961634</x:v>
      </x:c>
      <x:c r="P47" t="n">
        <x:f>IF(T46&lt;0,P46,Q46)</x:f>
        <x:v>57552.89918377121</x:v>
      </x:c>
      <x:c r="Q47" t="n">
        <x:f>(O47+P47)/2</x:f>
        <x:v>57552.89918186642</x:v>
      </x:c>
      <x:c r="R47" t="n">
        <x:f>SQRT($B$12*Q47/($B$10*$B$13))</x:f>
        <x:v>0.0007107036930092225</x:v>
      </x:c>
      <x:c r="S47" t="n">
        <x:f>SQRT($B$12*Q47/($B$11*$B$14))</x:f>
        <x:v>0.002045536921399257</x:v>
      </x:c>
      <x:c r="T47" t="n">
        <x:f>$B$12*Q47*$B$9*SIN(R47*$B$7)*SIN(S47*$B$8)-3*$B$11*$B$14*R47*COS(R47*$B$7)*SIN(S47*$B$8)-3*$B$11*$B$14*S47*COS(S47*$B$8)*SIN(R47*$B$7)</x:f>
        <x:v>-0.0008457601070404053</x:v>
      </x:c>
      <x:c r="U47" t="n">
        <x:f>P47-O47</x:f>
        <x:v>0.000003809574991464615</x:v>
      </x:c>
    </x:row>
    <x:row r="48">
      <x:c r="A48" t="n">
        <x:f>A47+1</x:f>
        <x:v>31</x:v>
      </x:c>
      <x:c r="B48" t="n">
        <x:f>10^(9*A48/299)</x:f>
        <x:v>8.572556731909325</x:v>
      </x:c>
      <x:c r="C48" t="n">
        <x:f>SQRT($B$12*B48/($B$10*$B$13))</x:f>
        <x:v>0.000008673814963903653</x:v>
      </x:c>
      <x:c r="D48" t="n">
        <x:f>SQRT($B$12*B48/($B$11*$B$14))</x:f>
        <x:v>0.000024964846718223042</x:v>
      </x:c>
      <x:c r="E48" t="n">
        <x:f>SIN(C48*$B$7)</x:f>
        <x:v>0.006938996284853445</x:v>
      </x:c>
      <x:c r="F48" t="n">
        <x:f>COS(C48*$B$7)</x:f>
        <x:v>0.9999759248754736</x:v>
      </x:c>
      <x:c r="G48" t="n">
        <x:f>SIN(D48*$B$8)</x:f>
        <x:v>0.024962253602325717</x:v>
      </x:c>
      <x:c r="H48" t="n">
        <x:f>COS(D48*$B$8)</x:f>
        <x:v>0.9996883943985212</x:v>
      </x:c>
      <x:c r="I48" t="n">
        <x:f>$B$12*B48*$B$9*E48*G48-3*$B$11*$B$14*C48*F48*G48-3*$B$11*$B$14*D48*H48*E48</x:f>
        <x:v>-48240.555855597646</x:v>
      </x:c>
      <x:c r="J48" t="n">
        <x:f>IF(AND(I47&lt;0,I48&gt;=0),1,0)</x:f>
        <x:v>0</x:v>
      </x:c>
      <x:c r="N48" t="n">
        <x:f>N47+1</x:f>
        <x:v>32</x:v>
      </x:c>
      <x:c r="O48" t="n">
        <x:f>IF(T47&lt;0,Q47,O47)</x:f>
        <x:v>57552.89918186642</x:v>
      </x:c>
      <x:c r="P48" t="n">
        <x:f>IF(T47&lt;0,P47,Q47)</x:f>
        <x:v>57552.89918377121</x:v>
      </x:c>
      <x:c r="Q48" t="n">
        <x:f>(O48+P48)/2</x:f>
        <x:v>57552.899182818815</x:v>
      </x:c>
      <x:c r="R48" t="n">
        <x:f>SQRT($B$12*Q48/($B$10*$B$13))</x:f>
        <x:v>0.0007107036930151029</x:v>
      </x:c>
      <x:c r="S48" t="n">
        <x:f>SQRT($B$12*Q48/($B$11*$B$14))</x:f>
        <x:v>0.0020455369214161818</x:v>
      </x:c>
      <x:c r="T48" t="n">
        <x:f>$B$12*Q48*$B$9*SIN(R48*$B$7)*SIN(S48*$B$8)-3*$B$11*$B$14*R48*COS(R48*$B$7)*SIN(S48*$B$8)-3*$B$11*$B$14*S48*COS(S48*$B$8)*SIN(R48*$B$7)</x:f>
        <x:v>0.0024622976779937744</x:v>
      </x:c>
      <x:c r="U48" t="n">
        <x:f>P48-O48</x:f>
        <x:v>0.0000019047874957323074</x:v>
      </x:c>
    </x:row>
    <x:row r="49">
      <x:c r="A49" t="n">
        <x:f>A48+1</x:f>
        <x:v>32</x:v>
      </x:c>
      <x:c r="B49" t="n">
        <x:f>10^(9*A49/299)</x:f>
        <x:v>9.187782428863335</x:v>
      </x:c>
      <x:c r="C49" t="n">
        <x:f>SQRT($B$12*B49/($B$10*$B$13))</x:f>
        <x:v>0.00000897966883538352</x:v>
      </x:c>
      <x:c r="D49" t="n">
        <x:f>SQRT($B$12*B49/($B$11*$B$14))</x:f>
        <x:v>0.000025845150834859808</x:v>
      </x:c>
      <x:c r="E49" t="n">
        <x:f>SIN(C49*$B$7)</x:f>
        <x:v>0.007183673281101621</x:v>
      </x:c>
      <x:c r="F49" t="n">
        <x:f>COS(C49*$B$7)</x:f>
        <x:v>0.9999741970862001</x:v>
      </x:c>
      <x:c r="G49" t="n">
        <x:f>SIN(D49*$B$8)</x:f>
        <x:v>0.025842273625542114</x:v>
      </x:c>
      <x:c r="H49" t="n">
        <x:f>COS(D49*$B$8)</x:f>
        <x:v>0.9996660326798459</x:v>
      </x:c>
      <x:c r="I49" t="n">
        <x:f>$B$12*B49*$B$9*E49*G49-3*$B$11*$B$14*C49*F49*G49-3*$B$11*$B$14*D49*H49*E49</x:f>
        <x:v>-51701.82433592933</x:v>
      </x:c>
      <x:c r="J49" t="n">
        <x:f>IF(AND(I48&lt;0,I49&gt;=0),1,0)</x:f>
        <x:v>0</x:v>
      </x:c>
      <x:c r="N49" t="n">
        <x:f>N48+1</x:f>
        <x:v>33</x:v>
      </x:c>
      <x:c r="O49" t="n">
        <x:f>IF(T48&lt;0,Q48,O48)</x:f>
        <x:v>57552.89918186642</x:v>
      </x:c>
      <x:c r="P49" t="n">
        <x:f>IF(T48&lt;0,P48,Q48)</x:f>
        <x:v>57552.899182818815</x:v>
      </x:c>
      <x:c r="Q49" t="n">
        <x:f>(O49+P49)/2</x:f>
        <x:v>57552.89918234262</x:v>
      </x:c>
      <x:c r="R49" t="n">
        <x:f>SQRT($B$12*Q49/($B$10*$B$13))</x:f>
        <x:v>0.0007107036930121628</x:v>
      </x:c>
      <x:c r="S49" t="n">
        <x:f>SQRT($B$12*Q49/($B$11*$B$14))</x:f>
        <x:v>0.0020455369214077194</x:v>
      </x:c>
      <x:c r="T49" t="n">
        <x:f>$B$12*Q49*$B$9*SIN(R49*$B$7)*SIN(S49*$B$8)-3*$B$11*$B$14*R49*COS(R49*$B$7)*SIN(S49*$B$8)-3*$B$11*$B$14*S49*COS(S49*$B$8)*SIN(R49*$B$7)</x:f>
        <x:v>0.0008082389831542969</x:v>
      </x:c>
      <x:c r="U49" t="n">
        <x:f>P49-O49</x:f>
        <x:v>9.523937478661537e-7</x:v>
      </x:c>
    </x:row>
    <x:row r="50">
      <x:c r="A50" t="n">
        <x:f>A49+1</x:f>
        <x:v>33</x:v>
      </x:c>
      <x:c r="B50" t="n">
        <x:f>10^(9*A50/299)</x:f>
        <x:v>9.847160957933774</x:v>
      </x:c>
      <x:c r="C50" t="n">
        <x:f>SQRT($B$12*B50/($B$10*$B$13))</x:f>
        <x:v>0.000009296307648793614</x:v>
      </x:c>
      <x:c r="D50" t="n">
        <x:f>SQRT($B$12*B50/($B$11*$B$14))</x:f>
        <x:v>0.00002675649601281429</x:v>
      </x:c>
      <x:c r="E50" t="n">
        <x:f>SIN(C50*$B$7)</x:f>
        <x:v>0.007436977562482002</x:v>
      </x:c>
      <x:c r="F50" t="n">
        <x:f>COS(C50*$B$7)</x:f>
        <x:v>0.9999723452999764</x:v>
      </x:c>
      <x:c r="G50" t="n">
        <x:f>SIN(D50*$B$8)</x:f>
        <x:v>0.026753303586229085</x:v>
      </x:c>
      <x:c r="H50" t="n">
        <x:f>COS(D50*$B$8)</x:f>
        <x:v>0.9996420663153502</x:v>
      </x:c>
      <x:c r="I50" t="n">
        <x:f>$B$12*B50*$B$9*E50*G50-3*$B$11*$B$14*C50*F50*G50-3*$B$11*$B$14*D50*H50*E50</x:f>
        <x:v>-55411.37744800114</x:v>
      </x:c>
      <x:c r="J50" t="n">
        <x:f>IF(AND(I49&lt;0,I50&gt;=0),1,0)</x:f>
        <x:v>0</x:v>
      </x:c>
      <x:c r="N50" t="n">
        <x:f>N49+1</x:f>
        <x:v>34</x:v>
      </x:c>
      <x:c r="O50" t="n">
        <x:f>IF(T49&lt;0,Q49,O49)</x:f>
        <x:v>57552.89918186642</x:v>
      </x:c>
      <x:c r="P50" t="n">
        <x:f>IF(T49&lt;0,P49,Q49)</x:f>
        <x:v>57552.89918234262</x:v>
      </x:c>
      <x:c r="Q50" t="n">
        <x:f>(O50+P50)/2</x:f>
        <x:v>57552.89918210452</x:v>
      </x:c>
      <x:c r="R50" t="n">
        <x:f>SQRT($B$12*Q50/($B$10*$B$13))</x:f>
        <x:v>0.0007107036930106927</x:v>
      </x:c>
      <x:c r="S50" t="n">
        <x:f>SQRT($B$12*Q50/($B$11*$B$14))</x:f>
        <x:v>0.0020455369214034884</x:v>
      </x:c>
      <x:c r="T50" t="n">
        <x:f>$B$12*Q50*$B$9*SIN(R50*$B$7)*SIN(S50*$B$8)-3*$B$11*$B$14*R50*COS(R50*$B$7)*SIN(S50*$B$8)-3*$B$11*$B$14*S50*COS(S50*$B$8)*SIN(R50*$B$7)</x:f>
        <x:v>-0.000018715858459472656</x:v>
      </x:c>
      <x:c r="U50" t="n">
        <x:f>P50-O50</x:f>
        <x:v>4.7619687393307686e-7</x:v>
      </x:c>
    </x:row>
    <x:row r="51">
      <x:c r="A51" t="n">
        <x:f>A50+1</x:f>
        <x:v>34</x:v>
      </x:c>
      <x:c r="B51" t="n">
        <x:f>10^(9*A51/299)</x:f>
        <x:v>10.553861030365235</x:v>
      </x:c>
      <x:c r="C51" t="n">
        <x:f>SQRT($B$12*B51/($B$10*$B$13))</x:f>
        <x:v>0.000009624111700031042</x:v>
      </x:c>
      <x:c r="D51" t="n">
        <x:f>SQRT($B$12*B51/($B$11*$B$14))</x:f>
        <x:v>0.000027699976814146937</x:v>
      </x:c>
      <x:c r="E51" t="n">
        <x:f>SIN(C51*$B$7)</x:f>
        <x:v>0.007699213292481939</x:v>
      </x:c>
      <x:c r="F51" t="n">
        <x:f>COS(C51*$B$7)</x:f>
        <x:v>0.999970360618092</x:v>
      </x:c>
      <x:c r="G51" t="n">
        <x:f>SIN(D51*$B$8)</x:f>
        <x:v>0.02769643463677177</x:v>
      </x:c>
      <x:c r="H51" t="n">
        <x:f>COS(D51*$B$8)</x:f>
        <x:v>0.9996163801721193</x:v>
      </x:c>
      <x:c r="I51" t="n">
        <x:f>$B$12*B51*$B$9*E51*G51-3*$B$11*$B$14*C51*F51*G51-3*$B$11*$B$14*D51*H51*E51</x:f>
        <x:v>-59387.01599193954</x:v>
      </x:c>
      <x:c r="J51" t="n">
        <x:f>IF(AND(I50&lt;0,I51&gt;=0),1,0)</x:f>
        <x:v>0</x:v>
      </x:c>
      <x:c r="N51" t="n">
        <x:f>N50+1</x:f>
        <x:v>35</x:v>
      </x:c>
      <x:c r="O51" t="n">
        <x:f>IF(T50&lt;0,Q50,O50)</x:f>
        <x:v>57552.89918210452</x:v>
      </x:c>
      <x:c r="P51" t="n">
        <x:f>IF(T50&lt;0,P50,Q50)</x:f>
        <x:v>57552.89918234262</x:v>
      </x:c>
      <x:c r="Q51" t="n">
        <x:f>(O51+P51)/2</x:f>
        <x:v>57552.89918222357</x:v>
      </x:c>
      <x:c r="R51" t="n">
        <x:f>SQRT($B$12*Q51/($B$10*$B$13))</x:f>
        <x:v>0.0007107036930114277</x:v>
      </x:c>
      <x:c r="S51" t="n">
        <x:f>SQRT($B$12*Q51/($B$11*$B$14))</x:f>
        <x:v>0.002045536921405604</x:v>
      </x:c>
      <x:c r="T51" t="n">
        <x:f>$B$12*Q51*$B$9*SIN(R51*$B$7)*SIN(S51*$B$8)-3*$B$11*$B$14*R51*COS(R51*$B$7)*SIN(S51*$B$8)-3*$B$11*$B$14*S51*COS(S51*$B$8)*SIN(R51*$B$7)</x:f>
        <x:v>0.0003947839140892029</x:v>
      </x:c>
      <x:c r="U51" t="n">
        <x:f>P51-O51</x:f>
        <x:v>2.3809843696653843e-7</x:v>
      </x:c>
    </x:row>
    <x:row r="52">
      <x:c r="A52" t="n">
        <x:f>A51+1</x:f>
        <x:v>35</x:v>
      </x:c>
      <x:c r="B52" t="n">
        <x:f>10^(9*A52/299)</x:f>
        <x:v>11.311278765939214</x:v>
      </x:c>
      <x:c r="C52" t="n">
        <x:f>SQRT($B$12*B52/($B$10*$B$13))</x:f>
        <x:v>0.000009963474694890737</x:v>
      </x:c>
      <x:c r="D52" t="n">
        <x:f>SQRT($B$12*B52/($B$11*$B$14))</x:f>
        <x:v>0.00002867672639708899</x:v>
      </x:c>
      <x:c r="E52" t="n">
        <x:f>SIN(C52*$B$7)</x:f>
        <x:v>0.007970695354484051</x:v>
      </x:c>
      <x:c r="F52" t="n">
        <x:f>COS(C52*$B$7)</x:f>
        <x:v>0.9999682335032278</x:v>
      </x:c>
      <x:c r="G52" t="n">
        <x:f>SIN(D52*$B$8)</x:f>
        <x:v>0.028672796152208156</x:v>
      </x:c>
      <x:c r="H52" t="n">
        <x:f>COS(D52*$B$8)</x:f>
        <x:v>0.9995888508585987</x:v>
      </x:c>
      <x:c r="I52" t="n">
        <x:f>$B$12*B52*$B$9*E52*G52-3*$B$11*$B$14*C52*F52*G52-3*$B$11*$B$14*D52*H52*E52</x:f>
        <x:v>-63647.81562751073</x:v>
      </x:c>
      <x:c r="J52" t="n">
        <x:f>IF(AND(I51&lt;0,I52&gt;=0),1,0)</x:f>
        <x:v>0</x:v>
      </x:c>
      <x:c r="N52" t="n">
        <x:f>N51+1</x:f>
        <x:v>36</x:v>
      </x:c>
      <x:c r="O52" t="n">
        <x:f>IF(T51&lt;0,Q51,O51)</x:f>
        <x:v>57552.89918210452</x:v>
      </x:c>
      <x:c r="P52" t="n">
        <x:f>IF(T51&lt;0,P51,Q51)</x:f>
        <x:v>57552.89918222357</x:v>
      </x:c>
      <x:c r="Q52" t="n">
        <x:f>(O52+P52)/2</x:f>
        <x:v>57552.899182164045</x:v>
      </x:c>
      <x:c r="R52" t="n">
        <x:f>SQRT($B$12*Q52/($B$10*$B$13))</x:f>
        <x:v>0.0007107036930110601</x:v>
      </x:c>
      <x:c r="S52" t="n">
        <x:f>SQRT($B$12*Q52/($B$11*$B$14))</x:f>
        <x:v>0.002045536921404546</x:v>
      </x:c>
      <x:c r="T52" t="n">
        <x:f>$B$12*Q52*$B$9*SIN(R52*$B$7)*SIN(S52*$B$8)-3*$B$11*$B$14*R52*COS(R52*$B$7)*SIN(S52*$B$8)-3*$B$11*$B$14*S52*COS(S52*$B$8)*SIN(R52*$B$7)</x:f>
        <x:v>0.0001880154013633728</x:v>
      </x:c>
      <x:c r="U52" t="n">
        <x:f>P52-O52</x:f>
        <x:v>1.1904921848326921e-7</x:v>
      </x:c>
    </x:row>
    <x:row r="53">
      <x:c r="A53" t="n">
        <x:f>A52+1</x:f>
        <x:v>36</x:v>
      </x:c>
      <x:c r="B53" t="n">
        <x:f>10^(9*A53/299)</x:f>
        <x:v>12.123054013376523</x:v>
      </x:c>
      <x:c r="C53" t="n">
        <x:f>SQRT($B$12*B53/($B$10*$B$13))</x:f>
        <x:v>0.000010314804221921893</x:v>
      </x:c>
      <x:c r="D53" t="n">
        <x:f>SQRT($B$12*B53/($B$11*$B$14))</x:f>
        <x:v>0.000029687917877010904</x:v>
      </x:c>
      <x:c r="E53" t="n">
        <x:f>SIN(C53*$B$7)</x:f>
        <x:v>0.008251749729172394</x:v>
      </x:c>
      <x:c r="F53" t="n">
        <x:f>COS(C53*$B$7)</x:f>
        <x:v>0.9999659537336294</x:v>
      </x:c>
      <x:c r="G53" t="n">
        <x:f>SIN(D53*$B$8)</x:f>
        <x:v>0.02968355705028343</x:v>
      </x:c>
      <x:c r="H53" t="n">
        <x:f>COS(D53*$B$8)</x:f>
        <x:v>0.9995593461325059</x:v>
      </x:c>
      <x:c r="I53" t="n">
        <x:f>$B$12*B53*$B$9*E53*G53-3*$B$11*$B$14*C53*F53*G53-3*$B$11*$B$14*D53*H53*E53</x:f>
        <x:v>-68214.21797315334</x:v>
      </x:c>
      <x:c r="J53" t="n">
        <x:f>IF(AND(I52&lt;0,I53&gt;=0),1,0)</x:f>
        <x:v>0</x:v>
      </x:c>
      <x:c r="N53" t="n">
        <x:f>N52+1</x:f>
        <x:v>37</x:v>
      </x:c>
      <x:c r="O53" t="n">
        <x:f>IF(T52&lt;0,Q52,O52)</x:f>
        <x:v>57552.89918210452</x:v>
      </x:c>
      <x:c r="P53" t="n">
        <x:f>IF(T52&lt;0,P52,Q52)</x:f>
        <x:v>57552.899182164045</x:v>
      </x:c>
      <x:c r="Q53" t="n">
        <x:f>(O53+P53)/2</x:f>
        <x:v>57552.89918213428</x:v>
      </x:c>
      <x:c r="R53" t="n">
        <x:f>SQRT($B$12*Q53/($B$10*$B$13))</x:f>
        <x:v>0.0007107036930108764</x:v>
      </x:c>
      <x:c r="S53" t="n">
        <x:f>SQRT($B$12*Q53/($B$11*$B$14))</x:f>
        <x:v>0.002045536921404017</x:v>
      </x:c>
      <x:c r="T53" t="n">
        <x:f>$B$12*Q53*$B$9*SIN(R53*$B$7)*SIN(S53*$B$8)-3*$B$11*$B$14*R53*COS(R53*$B$7)*SIN(S53*$B$8)-3*$B$11*$B$14*S53*COS(S53*$B$8)*SIN(R53*$B$7)</x:f>
        <x:v>0.0000845789909362793</x:v>
      </x:c>
      <x:c r="U53" t="n">
        <x:f>P53-O53</x:f>
        <x:v>5.952460924163461e-8</x:v>
      </x:c>
    </x:row>
    <x:row r="54">
      <x:c r="A54" t="n">
        <x:f>A53+1</x:f>
        <x:v>37</x:v>
      </x:c>
      <x:c r="B54" t="n">
        <x:f>10^(9*A54/299)</x:f>
        <x:v>12.993087842004158</x:v>
      </x:c>
      <x:c r="C54" t="n">
        <x:f>SQRT($B$12*B54/($B$10*$B$13))</x:f>
        <x:v>0.000010678522241958127</x:v>
      </x:c>
      <x:c r="D54" t="n">
        <x:f>SQRT($B$12*B54/($B$11*$B$14))</x:f>
        <x:v>0.0000307347657353809</x:v>
      </x:c>
      <x:c r="E54" t="n">
        <x:f>SIN(C54*$B$7)</x:f>
        <x:v>0.008542713885181326</x:v>
      </x:c>
      <x:c r="F54" t="n">
        <x:f>COS(C54*$B$7)</x:f>
        <x:v>0.9999635103539908</x:v>
      </x:c>
      <x:c r="G54" t="n">
        <x:f>SIN(D54*$B$8)</x:f>
        <x:v>0.030729927155013437</x:v>
      </x:c>
      <x:c r="H54" t="n">
        <x:f>COS(D54*$B$8)</x:f>
        <x:v>0.9995277242663395</x:v>
      </x:c>
      <x:c r="I54" t="n">
        <x:f>$B$12*B54*$B$9*E54*G54-3*$B$11*$B$14*C54*F54*G54-3*$B$11*$B$14*D54*H54*E54</x:f>
        <x:v>-73108.12818439369</x:v>
      </x:c>
      <x:c r="J54" t="n">
        <x:f>IF(AND(I53&lt;0,I54&gt;=0),1,0)</x:f>
        <x:v>0</x:v>
      </x:c>
      <x:c r="N54" t="n">
        <x:f>N53+1</x:f>
        <x:v>38</x:v>
      </x:c>
      <x:c r="O54" t="n">
        <x:f>IF(T53&lt;0,Q53,O53)</x:f>
        <x:v>57552.89918210452</x:v>
      </x:c>
      <x:c r="P54" t="n">
        <x:f>IF(T53&lt;0,P53,Q53)</x:f>
        <x:v>57552.89918213428</x:v>
      </x:c>
      <x:c r="Q54" t="n">
        <x:f>(O54+P54)/2</x:f>
        <x:v>57552.8991821194</x:v>
      </x:c>
      <x:c r="R54" t="n">
        <x:f>SQRT($B$12*Q54/($B$10*$B$13))</x:f>
        <x:v>0.0007107036930107844</x:v>
      </x:c>
      <x:c r="S54" t="n">
        <x:f>SQRT($B$12*Q54/($B$11*$B$14))</x:f>
        <x:v>0.0020455369214037525</x:v>
      </x:c>
      <x:c r="T54" t="n">
        <x:f>$B$12*Q54*$B$9*SIN(R54*$B$7)*SIN(S54*$B$8)-3*$B$11*$B$14*R54*COS(R54*$B$7)*SIN(S54*$B$8)-3*$B$11*$B$14*S54*COS(S54*$B$8)*SIN(R54*$B$7)</x:f>
        <x:v>0.000032924115657806396</x:v>
      </x:c>
      <x:c r="U54" t="n">
        <x:f>P54-O54</x:f>
        <x:v>2.9758666642010212e-8</x:v>
      </x:c>
    </x:row>
    <x:row r="55">
      <x:c r="A55" t="n">
        <x:f>A54+1</x:f>
        <x:v>38</x:v>
      </x:c>
      <x:c r="B55" t="n">
        <x:f>10^(9*A55/299)</x:f>
        <x:v>13.925561288744627</x:v>
      </x:c>
      <x:c r="C55" t="n">
        <x:f>SQRT($B$12*B55/($B$10*$B$13))</x:f>
        <x:v>0.00001105506559490935</x:v>
      </x:c>
      <x:c r="D55" t="n">
        <x:f>SQRT($B$12*B55/($B$11*$B$14))</x:f>
        <x:v>0.000031818527278405846</x:v>
      </x:c>
      <x:c r="E55" t="n">
        <x:f>SIN(C55*$B$7)</x:f>
        <x:v>0.00884393718344686</x:v>
      </x:c>
      <x:c r="F55" t="n">
        <x:f>COS(C55*$B$7)</x:f>
        <x:v>0.999960891622815</x:v>
      </x:c>
      <x:c r="G55" t="n">
        <x:f>SIN(D55*$B$8)</x:f>
        <x:v>0.03181315860495892</x:v>
      </x:c>
      <x:c r="H55" t="n">
        <x:f>COS(D55*$B$8)</x:f>
        <x:v>0.9994938333674579</x:v>
      </x:c>
      <x:c r="I55" t="n">
        <x:f>$B$12*B55*$B$9*E55*G55-3*$B$11*$B$14*C55*F55*G55-3*$B$11*$B$14*D55*H55*E55</x:f>
        <x:v>-78353.01946795391</x:v>
      </x:c>
      <x:c r="J55" t="n">
        <x:f>IF(AND(I54&lt;0,I55&gt;=0),1,0)</x:f>
        <x:v>0</x:v>
      </x:c>
      <x:c r="N55" t="n">
        <x:f>N54+1</x:f>
        <x:v>39</x:v>
      </x:c>
      <x:c r="O55" t="n">
        <x:f>IF(T54&lt;0,Q54,O54)</x:f>
        <x:v>57552.89918210452</x:v>
      </x:c>
      <x:c r="P55" t="n">
        <x:f>IF(T54&lt;0,P54,Q54)</x:f>
        <x:v>57552.8991821194</x:v>
      </x:c>
      <x:c r="Q55" t="n">
        <x:f>(O55+P55)/2</x:f>
        <x:v>57552.899182111956</x:v>
      </x:c>
      <x:c r="R55" t="n">
        <x:f>SQRT($B$12*Q55/($B$10*$B$13))</x:f>
        <x:v>0.0007107036930107386</x:v>
      </x:c>
      <x:c r="S55" t="n">
        <x:f>SQRT($B$12*Q55/($B$11*$B$14))</x:f>
        <x:v>0.0020455369214036206</x:v>
      </x:c>
      <x:c r="T55" t="n">
        <x:f>$B$12*Q55*$B$9*SIN(R55*$B$7)*SIN(S55*$B$8)-3*$B$11*$B$14*R55*COS(R55*$B$7)*SIN(S55*$B$8)-3*$B$11*$B$14*S55*COS(S55*$B$8)*SIN(R55*$B$7)</x:f>
        <x:v>0.000007137656211853027</x:v>
      </x:c>
      <x:c r="U55" t="n">
        <x:f>P55-O55</x:f>
        <x:v>1.4879333321005106e-8</x:v>
      </x:c>
    </x:row>
    <x:row r="56">
      <x:c r="A56" t="n">
        <x:f>A55+1</x:f>
        <x:v>39</x:v>
      </x:c>
      <x:c r="B56" t="n">
        <x:f>10^(9*A56/299)</x:f>
        <x:v>14.924955450518299</x:v>
      </x:c>
      <x:c r="C56" t="n">
        <x:f>SQRT($B$12*B56/($B$10*$B$13))</x:f>
        <x:v>0.000011444886524423994</x:v>
      </x:c>
      <x:c r="D56" t="n">
        <x:f>SQRT($B$12*B56/($B$11*$B$14))</x:f>
        <x:v>0.00003294050414710636</x:v>
      </x:c>
      <x:c r="E56" t="n">
        <x:f>SIN(C56*$B$7)</x:f>
        <x:v>0.00915578129573579</x:v>
      </x:c>
      <x:c r="F56" t="n">
        <x:f>COS(C56*$B$7)</x:f>
        <x:v>0.9999580849559969</x:v>
      </x:c>
      <x:c r="G56" t="n">
        <x:f>SIN(D56*$B$8)</x:f>
        <x:v>0.03293454730741799</x:v>
      </x:c>
      <x:c r="H56" t="n">
        <x:f>COS(D56*$B$8)</x:f>
        <x:v>0.99945751064948</x:v>
      </x:c>
      <x:c r="I56" t="n">
        <x:f>$B$12*B56*$B$9*E56*G56-3*$B$11*$B$14*C56*F56*G56-3*$B$11*$B$14*D56*H56*E56</x:f>
        <x:v>-83974.04501931996</x:v>
      </x:c>
      <x:c r="J56" t="n">
        <x:f>IF(AND(I55&lt;0,I56&gt;=0),1,0)</x:f>
        <x:v>0</x:v>
      </x:c>
      <x:c r="N56" t="n">
        <x:f>N55+1</x:f>
        <x:v>40</x:v>
      </x:c>
      <x:c r="O56" t="n">
        <x:f>IF(T55&lt;0,Q55,O55)</x:f>
        <x:v>57552.89918210452</x:v>
      </x:c>
      <x:c r="P56" t="n">
        <x:f>IF(T55&lt;0,P55,Q55)</x:f>
        <x:v>57552.899182111956</x:v>
      </x:c>
      <x:c r="Q56" t="n">
        <x:f>(O56+P56)/2</x:f>
        <x:v>57552.89918210824</x:v>
      </x:c>
      <x:c r="R56" t="n">
        <x:f>SQRT($B$12*Q56/($B$10*$B$13))</x:f>
        <x:v>0.0007107036930107157</x:v>
      </x:c>
      <x:c r="S56" t="n">
        <x:f>SQRT($B$12*Q56/($B$11*$B$14))</x:f>
        <x:v>0.0020455369214035543</x:v>
      </x:c>
      <x:c r="T56" t="n">
        <x:f>$B$12*Q56*$B$9*SIN(R56*$B$7)*SIN(S56*$B$8)-3*$B$11*$B$14*R56*COS(R56*$B$7)*SIN(S56*$B$8)-3*$B$11*$B$14*S56*COS(S56*$B$8)*SIN(R56*$B$7)</x:f>
        <x:v>-0.0000058710575103759766</x:v>
      </x:c>
      <x:c r="U56" t="n">
        <x:f>P56-O56</x:f>
        <x:v>7.436028681695461e-9</x:v>
      </x:c>
    </x:row>
    <x:row r="57">
      <x:c r="A57" t="n">
        <x:f>A56+1</x:f>
        <x:v>40</x:v>
      </x:c>
      <x:c r="B57" t="n">
        <x:f>10^(9*A57/299)</x:f>
        <x:v>15.996073018614878</x:v>
      </x:c>
      <x:c r="C57" t="n">
        <x:f>SQRT($B$12*B57/($B$10*$B$13))</x:f>
        <x:v>0.000011848453221051731</x:v>
      </x:c>
      <x:c r="D57" t="n">
        <x:f>SQRT($B$12*B57/($B$11*$B$14))</x:f>
        <x:v>0.00003410204388063981</x:v>
      </x:c>
      <x:c r="E57" t="n">
        <x:f>SIN(C57*$B$7)</x:f>
        <x:v>0.009478620637843625</x:v>
      </x:c>
      <x:c r="F57" t="n">
        <x:f>COS(C57*$B$7)</x:f>
        <x:v>0.999955076866358</x:v>
      </x:c>
      <x:c r="G57" t="n">
        <x:f>SIN(D57*$B$8)</x:f>
        <x:v>0.034095434439746795</x:v>
      </x:c>
      <x:c r="H57" t="n">
        <x:f>COS(D57*$B$8)</x:f>
        <x:v>0.9994185816515345</x:v>
      </x:c>
      <x:c r="I57" t="n">
        <x:f>$B$12*B57*$B$9*E57*G57-3*$B$11*$B$14*C57*F57*G57-3*$B$11*$B$14*D57*H57*E57</x:f>
        <x:v>-89998.15790505805</x:v>
      </x:c>
      <x:c r="J57" t="n">
        <x:f>IF(AND(I56&lt;0,I57&gt;=0),1,0)</x:f>
        <x:v>0</x:v>
      </x:c>
      <x:c r="N57" t="n">
        <x:f>N56+1</x:f>
        <x:v>41</x:v>
      </x:c>
      <x:c r="O57" t="n">
        <x:f>IF(T56&lt;0,Q56,O56)</x:f>
        <x:v>57552.89918210824</x:v>
      </x:c>
      <x:c r="P57" t="n">
        <x:f>IF(T56&lt;0,P56,Q56)</x:f>
        <x:v>57552.899182111956</x:v>
      </x:c>
      <x:c r="Q57" t="n">
        <x:f>(O57+P57)/2</x:f>
        <x:v>57552.89918211009</x:v>
      </x:c>
      <x:c r="R57" t="n">
        <x:f>SQRT($B$12*Q57/($B$10*$B$13))</x:f>
        <x:v>0.0007107036930107271</x:v>
      </x:c>
      <x:c r="S57" t="n">
        <x:f>SQRT($B$12*Q57/($B$11*$B$14))</x:f>
        <x:v>0.0020455369214035873</x:v>
      </x:c>
      <x:c r="T57" t="n">
        <x:f>$B$12*Q57*$B$9*SIN(R57*$B$7)*SIN(S57*$B$8)-3*$B$11*$B$14*R57*COS(R57*$B$7)*SIN(S57*$B$8)-3*$B$11*$B$14*S57*COS(S57*$B$8)*SIN(R57*$B$7)</x:f>
        <x:v>6.258487701416016e-7</x:v>
      </x:c>
      <x:c r="U57" t="n">
        <x:f>P57-O57</x:f>
        <x:v>3.7180143408477306e-9</x:v>
      </x:c>
    </x:row>
    <x:row r="58">
      <x:c r="A58" t="n">
        <x:f>A57+1</x:f>
        <x:v>41</x:v>
      </x:c>
      <x:c r="B58" t="n">
        <x:f>10^(9*A58/299)</x:f>
        <x:v>17.14406135851971</x:v>
      </x:c>
      <x:c r="C58" t="n">
        <x:f>SQRT($B$12*B58/($B$10*$B$13))</x:f>
        <x:v>0.000012266250384559109</x:v>
      </x:c>
      <x:c r="D58" t="n">
        <x:f>SQRT($B$12*B58/($B$11*$B$14))</x:f>
        <x:v>0.00003530454153474885</x:v>
      </x:c>
      <x:c r="E58" t="n">
        <x:f>SIN(C58*$B$7)</x:f>
        <x:v>0.00981284281796895</x:v>
      </x:c>
      <x:c r="F58" t="n">
        <x:f>COS(C58*$B$7)</x:f>
        <x:v>0.9999518528988433</x:v>
      </x:c>
      <x:c r="G58" t="n">
        <x:f>SIN(D58*$B$8)</x:f>
        <x:v>0.035297207999015714</x:v>
      </x:c>
      <x:c r="H58" t="n">
        <x:f>COS(D58*$B$8)</x:f>
        <x:v>0.9993768594016345</x:v>
      </x:c>
      <x:c r="I58" t="n">
        <x:f>$B$12*B58*$B$9*E58*G58-3*$B$11*$B$14*C58*F58*G58-3*$B$11*$B$14*D58*H58*E58</x:f>
        <x:v>-96454.23944687695</x:v>
      </x:c>
      <x:c r="J58" t="n">
        <x:f>IF(AND(I57&lt;0,I58&gt;=0),1,0)</x:f>
        <x:v>0</x:v>
      </x:c>
      <x:c r="N58" t="n">
        <x:f>N57+1</x:f>
        <x:v>42</x:v>
      </x:c>
      <x:c r="O58" t="n">
        <x:f>IF(T57&lt;0,Q57,O57)</x:f>
        <x:v>57552.89918210824</x:v>
      </x:c>
      <x:c r="P58" t="n">
        <x:f>IF(T57&lt;0,P57,Q57)</x:f>
        <x:v>57552.89918211009</x:v>
      </x:c>
      <x:c r="Q58" t="n">
        <x:f>(O58+P58)/2</x:f>
        <x:v>57552.89918210916</x:v>
      </x:c>
      <x:c r="R58" t="n">
        <x:f>SQRT($B$12*Q58/($B$10*$B$13))</x:f>
        <x:v>0.0007107036930107213</x:v>
      </x:c>
      <x:c r="S58" t="n">
        <x:f>SQRT($B$12*Q58/($B$11*$B$14))</x:f>
        <x:v>0.0020455369214035708</x:v>
      </x:c>
      <x:c r="T58" t="n">
        <x:f>$B$12*Q58*$B$9*SIN(R58*$B$7)*SIN(S58*$B$8)-3*$B$11*$B$14*R58*COS(R58*$B$7)*SIN(S58*$B$8)-3*$B$11*$B$14*S58*COS(S58*$B$8)*SIN(R58*$B$7)</x:f>
        <x:v>-0.0000026673078536987305</x:v>
      </x:c>
      <x:c r="U58" t="n">
        <x:f>P58-O58</x:f>
        <x:v>1.8553691916167736e-9</x:v>
      </x:c>
    </x:row>
    <x:row r="59">
      <x:c r="A59" t="n">
        <x:f>A58+1</x:f>
        <x:v>42</x:v>
      </x:c>
      <x:c r="B59" t="n">
        <x:f>10^(9*A59/299)</x:f>
        <x:v>18.374437246107266</x:v>
      </x:c>
      <x:c r="C59" t="n">
        <x:f>SQRT($B$12*B59/($B$10*$B$13))</x:f>
        <x:v>0.000012698779806073351</x:v>
      </x:c>
      <x:c r="D59" t="n">
        <x:f>SQRT($B$12*B59/($B$11*$B$14))</x:f>
        <x:v>0.0000365494413572792</x:v>
      </x:c>
      <x:c r="E59" t="n">
        <x:f>SIN(C59*$B$7)</x:f>
        <x:v>0.010158849100788339</x:v>
      </x:c>
      <x:c r="F59" t="n">
        <x:f>COS(C59*$B$7)</x:f>
        <x:v>0.9999483975610679</x:v>
      </x:c>
      <x:c r="G59" t="n">
        <x:f>SIN(D59*$B$8)</x:f>
        <x:v>0.03654130440120183</x:v>
      </x:c>
      <x:c r="H59" t="n">
        <x:f>COS(D59*$B$8)</x:f>
        <x:v>0.9993321435201905</x:v>
      </x:c>
      <x:c r="I59" t="n">
        <x:f>$B$12*B59*$B$9*E59*G59-3*$B$11*$B$14*C59*F59*G59-3*$B$11*$B$14*D59*H59*E59</x:f>
        <x:v>-103373.23670244886</x:v>
      </x:c>
      <x:c r="J59" t="n">
        <x:f>IF(AND(I58&lt;0,I59&gt;=0),1,0)</x:f>
        <x:v>0</x:v>
      </x:c>
      <x:c r="N59" t="n">
        <x:f>N58+1</x:f>
        <x:v>43</x:v>
      </x:c>
      <x:c r="O59" t="n">
        <x:f>IF(T58&lt;0,Q58,O58)</x:f>
        <x:v>57552.89918210916</x:v>
      </x:c>
      <x:c r="P59" t="n">
        <x:f>IF(T58&lt;0,P58,Q58)</x:f>
        <x:v>57552.89918211009</x:v>
      </x:c>
      <x:c r="Q59" t="n">
        <x:f>(O59+P59)/2</x:f>
        <x:v>57552.89918210963</x:v>
      </x:c>
      <x:c r="R59" t="n">
        <x:f>SQRT($B$12*Q59/($B$10*$B$13))</x:f>
        <x:v>0.0007107036930107242</x:v>
      </x:c>
      <x:c r="S59" t="n">
        <x:f>SQRT($B$12*Q59/($B$11*$B$14))</x:f>
        <x:v>0.002045536921403579</x:v>
      </x:c>
      <x:c r="T59" t="n">
        <x:f>$B$12*Q59*$B$9*SIN(R59*$B$7)*SIN(S59*$B$8)-3*$B$11*$B$14*R59*COS(R59*$B$7)*SIN(S59*$B$8)-3*$B$11*$B$14*S59*COS(S59*$B$8)*SIN(R59*$B$7)</x:f>
        <x:v>-0.0000010132789611816406</x:v>
      </x:c>
      <x:c r="U59" t="n">
        <x:f>P59-O59</x:f>
        <x:v>9.313225746154785e-10</x:v>
      </x:c>
    </x:row>
    <x:row r="60">
      <x:c r="A60" t="n">
        <x:f>A59+1</x:f>
        <x:v>43</x:v>
      </x:c>
      <x:c r="B60" t="n">
        <x:f>10^(9*A60/299)</x:f>
        <x:v>19.693113379074227</x:v>
      </x:c>
      <x:c r="C60" t="n">
        <x:f>SQRT($B$12*B60/($B$10*$B$13))</x:f>
        <x:v>0.000013146560970753616</x:v>
      </x:c>
      <x:c r="D60" t="n">
        <x:f>SQRT($B$12*B60/($B$11*$B$14))</x:f>
        <x:v>0.000037838238522779164</x:v>
      </x:c>
      <x:c r="E60" t="n">
        <x:f>SIN(C60*$B$7)</x:f>
        <x:v>0.010517054887773575</x:v>
      </x:c>
      <x:c r="F60" t="n">
        <x:f>COS(C60*$B$7)</x:f>
        <x:v>0.9999446942488808</x:v>
      </x:c>
      <x:c r="G60" t="n">
        <x:f>SIN(D60*$B$8)</x:f>
        <x:v>0.037829210131105344</x:v>
      </x:c>
      <x:c r="H60" t="n">
        <x:f>COS(D60*$B$8)</x:f>
        <x:v>0.999284219259394</x:v>
      </x:c>
      <x:c r="I60" t="n">
        <x:f>$B$12*B60*$B$9*E60*G60-3*$B$11*$B$14*C60*F60*G60-3*$B$11*$B$14*D60*H60*E60</x:f>
        <x:v>-110788.30967845941</x:v>
      </x:c>
      <x:c r="J60" t="n">
        <x:f>IF(AND(I59&lt;0,I60&gt;=0),1,0)</x:f>
        <x:v>0</x:v>
      </x:c>
      <x:c r="N60" t="n">
        <x:f>N59+1</x:f>
        <x:v>44</x:v>
      </x:c>
      <x:c r="O60" t="n">
        <x:f>IF(T59&lt;0,Q59,O59)</x:f>
        <x:v>57552.89918210963</x:v>
      </x:c>
      <x:c r="P60" t="n">
        <x:f>IF(T59&lt;0,P59,Q59)</x:f>
        <x:v>57552.89918211009</x:v>
      </x:c>
      <x:c r="Q60" t="n">
        <x:f>(O60+P60)/2</x:f>
        <x:v>57552.89918210986</x:v>
      </x:c>
      <x:c r="R60" t="n">
        <x:f>SQRT($B$12*Q60/($B$10*$B$13))</x:f>
        <x:v>0.0007107036930107257</x:v>
      </x:c>
      <x:c r="S60" t="n">
        <x:f>SQRT($B$12*Q60/($B$11*$B$14))</x:f>
        <x:v>0.0020455369214035833</x:v>
      </x:c>
      <x:c r="T60" t="n">
        <x:f>$B$12*Q60*$B$9*SIN(R60*$B$7)*SIN(S60*$B$8)-3*$B$11*$B$14*R60*COS(R60*$B$7)*SIN(S60*$B$8)-3*$B$11*$B$14*S60*COS(S60*$B$8)*SIN(R60*$B$7)</x:f>
        <x:v>-1.7136335372924805e-7</x:v>
      </x:c>
      <x:c r="U60" t="n">
        <x:f>P60-O60</x:f>
        <x:v>4.656612873077393e-10</x:v>
      </x:c>
    </x:row>
    <x:row r="61">
      <x:c r="A61" t="n">
        <x:f>A60+1</x:f>
        <x:v>44</x:v>
      </x:c>
      <x:c r="B61" t="n">
        <x:f>10^(9*A61/299)</x:f>
        <x:v>21.106426791015547</x:v>
      </x:c>
      <x:c r="C61" t="n">
        <x:f>SQRT($B$12*B61/($B$10*$B$13))</x:f>
        <x:v>0.000013610131681713482</x:v>
      </x:c>
      <x:c r="D61" t="n">
        <x:f>SQRT($B$12*B61/($B$11*$B$14))</x:f>
        <x:v>0.000039172480928264176</x:v>
      </x:c>
      <x:c r="E61" t="n">
        <x:f>SIN(C61*$B$7)</x:f>
        <x:v>0.01088789021431048</x:v>
      </x:c>
      <x:c r="F61" t="n">
        <x:f>COS(C61*$B$7)</x:f>
        <x:v>0.9999407251665876</x:v>
      </x:c>
      <x:c r="G61" t="n">
        <x:f>SIN(D61*$B$8)</x:f>
        <x:v>0.03916246344415842</x:v>
      </x:c>
      <x:c r="H61" t="n">
        <x:f>COS(D61*$B$8)</x:f>
        <x:v>0.9992328564738977</x:v>
      </x:c>
      <x:c r="I61" t="n">
        <x:f>$B$12*B61*$B$9*E61*G61-3*$B$11*$B$14*C61*F61*G61-3*$B$11*$B$14*D61*H61*E61</x:f>
        <x:v>-118734.98895438122</x:v>
      </x:c>
      <x:c r="J61" t="n">
        <x:f>IF(AND(I60&lt;0,I61&gt;=0),1,0)</x:f>
        <x:v>0</x:v>
      </x:c>
      <x:c r="N61" t="n">
        <x:f>N60+1</x:f>
        <x:v>45</x:v>
      </x:c>
      <x:c r="O61" t="n">
        <x:f>IF(T60&lt;0,Q60,O60)</x:f>
        <x:v>57552.89918210986</x:v>
      </x:c>
      <x:c r="P61" t="n">
        <x:f>IF(T60&lt;0,P60,Q60)</x:f>
        <x:v>57552.89918211009</x:v>
      </x:c>
      <x:c r="Q61" t="n">
        <x:f>(O61+P61)/2</x:f>
        <x:v>57552.89918210998</x:v>
      </x:c>
      <x:c r="R61" t="n">
        <x:f>SQRT($B$12*Q61/($B$10*$B$13))</x:f>
        <x:v>0.0007107036930107263</x:v>
      </x:c>
      <x:c r="S61" t="n">
        <x:f>SQRT($B$12*Q61/($B$11*$B$14))</x:f>
        <x:v>0.002045536921403585</x:v>
      </x:c>
      <x:c r="T61" t="n">
        <x:f>$B$12*Q61*$B$9*SIN(R61*$B$7)*SIN(S61*$B$8)-3*$B$11*$B$14*R61*COS(R61*$B$7)*SIN(S61*$B$8)-3*$B$11*$B$14*S61*COS(S61*$B$8)*SIN(R61*$B$7)</x:f>
        <x:v>2.086162567138672e-7</x:v>
      </x:c>
      <x:c r="U61" t="n">
        <x:f>P61-O61</x:f>
        <x:v>2.3283064365386963e-10</x:v>
      </x:c>
    </x:row>
    <x:row r="62">
      <x:c r="A62" t="n">
        <x:f>A61+1</x:f>
        <x:v>45</x:v>
      </x:c>
      <x:c r="B62" t="n">
        <x:f>10^(9*A62/299)</x:f>
        <x:v>22.621169304690252</x:v>
      </x:c>
      <x:c r="C62" t="n">
        <x:f>SQRT($B$12*B62/($B$10*$B$13))</x:f>
        <x:v>0.000014090048705944011</x:v>
      </x:c>
      <x:c r="D62" t="n">
        <x:f>SQRT($B$12*B62/($B$11*$B$14))</x:f>
        <x:v>0.00004055377105230307</x:v>
      </x:c>
      <x:c r="E62" t="n">
        <x:f>SIN(C62*$B$7)</x:f>
        <x:v>0.011271800264196991</x:v>
      </x:c>
      <x:c r="F62" t="n">
        <x:f>COS(C62*$B$7)</x:f>
        <x:v>0.9999364712414505</x:v>
      </x:c>
      <x:c r="G62" t="n">
        <x:f>SIN(D62*$B$8)</x:f>
        <x:v>0.04054265612126832</x:v>
      </x:c>
      <x:c r="H62" t="n">
        <x:f>COS(D62*$B$8)</x:f>
        <x:v>0.9991778085178997</x:v>
      </x:c>
      <x:c r="I62" t="n">
        <x:f>$B$12*B62*$B$9*E62*G62-3*$B$11*$B$14*C62*F62*G62-3*$B$11*$B$14*D62*H62*E62</x:f>
        <x:v>-127251.34444119516</x:v>
      </x:c>
      <x:c r="J62" t="n">
        <x:f>IF(AND(I61&lt;0,I62&gt;=0),1,0)</x:f>
        <x:v>0</x:v>
      </x:c>
      <x:c r="N62" t="n">
        <x:f>N61+1</x:f>
        <x:v>46</x:v>
      </x:c>
      <x:c r="O62" t="n">
        <x:f>IF(T61&lt;0,Q61,O61)</x:f>
        <x:v>57552.89918210986</x:v>
      </x:c>
      <x:c r="P62" t="n">
        <x:f>IF(T61&lt;0,P61,Q61)</x:f>
        <x:v>57552.89918210998</x:v>
      </x:c>
      <x:c r="Q62" t="n">
        <x:f>(O62+P62)/2</x:f>
        <x:v>57552.89918210992</x:v>
      </x:c>
      <x:c r="R62" t="n">
        <x:f>SQRT($B$12*Q62/($B$10*$B$13))</x:f>
        <x:v>0.000710703693010726</x:v>
      </x:c>
      <x:c r="S62" t="n">
        <x:f>SQRT($B$12*Q62/($B$11*$B$14))</x:f>
        <x:v>0.002045536921403584</x:v>
      </x:c>
      <x:c r="T62" t="n">
        <x:f>$B$12*Q62*$B$9*SIN(R62*$B$7)*SIN(S62*$B$8)-3*$B$11*$B$14*R62*COS(R62*$B$7)*SIN(S62*$B$8)-3*$B$11*$B$14*S62*COS(S62*$B$8)*SIN(R62*$B$7)</x:f>
        <x:v>7.450580596923828e-9</x:v>
      </x:c>
      <x:c r="U62" t="n">
        <x:f>P62-O62</x:f>
        <x:v>1.1641532182693481e-10</x:v>
      </x:c>
    </x:row>
    <x:row r="63">
      <x:c r="A63" t="n">
        <x:f>A62+1</x:f>
        <x:v>46</x:v>
      </x:c>
      <x:c r="B63" t="n">
        <x:f>10^(9*A63/299)</x:f>
        <x:v>24.244620170823282</x:v>
      </x:c>
      <x:c r="C63" t="n">
        <x:f>SQRT($B$12*B63/($B$10*$B$13))</x:f>
        <x:v>0.000014586888443013222</x:v>
      </x:c>
      <x:c r="D63" t="n">
        <x:f>SQRT($B$12*B63/($B$11*$B$14))</x:f>
        <x:v>0.000041983767879659056</x:v>
      </x:c>
      <x:c r="E63" t="n">
        <x:f>SIN(C63*$B$7)</x:f>
        <x:v>0.011669245902116942</x:v>
      </x:c>
      <x:c r="F63" t="n">
        <x:f>COS(C63*$B$7)</x:f>
        <x:v>0.9999319120320522</x:v>
      </x:c>
      <x:c r="G63" t="n">
        <x:f>SIN(D63*$B$8)</x:f>
        <x:v>0.041971435277801845</x:v>
      </x:c>
      <x:c r="H63" t="n">
        <x:f>COS(D63*$B$8)</x:f>
        <x:v>0.9991188110633896</x:v>
      </x:c>
      <x:c r="I63" t="n">
        <x:f>$B$12*B63*$B$9*E63*G63-3*$B$11*$B$14*C63*F63*G63-3*$B$11*$B$14*D63*H63*E63</x:f>
        <x:v>-136378.16604785822</x:v>
      </x:c>
      <x:c r="J63" t="n">
        <x:f>IF(AND(I62&lt;0,I63&gt;=0),1,0)</x:f>
        <x:v>0</x:v>
      </x:c>
      <x:c r="N63" t="n">
        <x:f>N62+1</x:f>
        <x:v>47</x:v>
      </x:c>
      <x:c r="O63" t="n">
        <x:f>IF(T62&lt;0,Q62,O62)</x:f>
        <x:v>57552.89918210986</x:v>
      </x:c>
      <x:c r="P63" t="n">
        <x:f>IF(T62&lt;0,P62,Q62)</x:f>
        <x:v>57552.89918210992</x:v>
      </x:c>
      <x:c r="Q63" t="n">
        <x:f>(O63+P63)/2</x:f>
        <x:v>57552.89918210989</x:v>
      </x:c>
      <x:c r="R63" t="n">
        <x:f>SQRT($B$12*Q63/($B$10*$B$13))</x:f>
        <x:v>0.0007107036930107258</x:v>
      </x:c>
      <x:c r="S63" t="n">
        <x:f>SQRT($B$12*Q63/($B$11*$B$14))</x:f>
        <x:v>0.0020455369214035838</x:v>
      </x:c>
      <x:c r="T63" t="n">
        <x:f>$B$12*Q63*$B$9*SIN(R63*$B$7)*SIN(S63*$B$8)-3*$B$11*$B$14*R63*COS(R63*$B$7)*SIN(S63*$B$8)-3*$B$11*$B$14*S63*COS(S63*$B$8)*SIN(R63*$B$7)</x:f>
        <x:v>-7.450580596923828e-8</x:v>
      </x:c>
      <x:c r="U63" t="n">
        <x:f>P63-O63</x:f>
        <x:v>5.820766091346741e-11</x:v>
      </x:c>
    </x:row>
    <x:row r="64">
      <x:c r="A64" t="n">
        <x:f>A63+1</x:f>
        <x:v>47</x:v>
      </x:c>
      <x:c r="B64" t="n">
        <x:f>10^(9*A64/299)</x:f>
        <x:v>25.984581049292483</x:v>
      </x:c>
      <x:c r="C64" t="n">
        <x:f>SQRT($B$12*B64/($B$10*$B$13))</x:f>
        <x:v>0.00001510124761734505</x:v>
      </x:c>
      <x:c r="D64" t="n">
        <x:f>SQRT($B$12*B64/($B$11*$B$14))</x:f>
        <x:v>0.000043464188893796854</x:v>
      </x:c>
      <x:c r="E64" t="n">
        <x:f>SIN(C64*$B$7)</x:f>
        <x:v>0.012080704224705092</x:v>
      </x:c>
      <x:c r="F64" t="n">
        <x:f>COS(C64*$B$7)</x:f>
        <x:v>0.9999270256300883</x:v>
      </x:c>
      <x:c r="G64" t="n">
        <x:f>SIN(D64*$B$8)</x:f>
        <x:v>0.04345050522777346</x:v>
      </x:c>
      <x:c r="H64" t="n">
        <x:f>COS(D64*$B$8)</x:f>
        <x:v>0.999055580833945</x:v>
      </x:c>
      <x:c r="I64" t="n">
        <x:f>$B$12*B64*$B$9*E64*G64-3*$B$11*$B$14*C64*F64*G64-3*$B$11*$B$14*D64*H64*E64</x:f>
        <x:v>-146159.15707986715</x:v>
      </x:c>
      <x:c r="J64" t="n">
        <x:f>IF(AND(I63&lt;0,I64&gt;=0),1,0)</x:f>
        <x:v>0</x:v>
      </x:c>
      <x:c r="N64" t="n">
        <x:f>N63+1</x:f>
        <x:v>48</x:v>
      </x:c>
      <x:c r="O64" t="n">
        <x:f>IF(T63&lt;0,Q63,O63)</x:f>
        <x:v>57552.89918210989</x:v>
      </x:c>
      <x:c r="P64" t="n">
        <x:f>IF(T63&lt;0,P63,Q63)</x:f>
        <x:v>57552.89918210992</x:v>
      </x:c>
      <x:c r="Q64" t="n">
        <x:f>(O64+P64)/2</x:f>
        <x:v>57552.899182109904</x:v>
      </x:c>
      <x:c r="R64" t="n">
        <x:f>SQRT($B$12*Q64/($B$10*$B$13))</x:f>
        <x:v>0.0007107036930107259</x:v>
      </x:c>
      <x:c r="S64" t="n">
        <x:f>SQRT($B$12*Q64/($B$11*$B$14))</x:f>
        <x:v>0.0020455369214035838</x:v>
      </x:c>
      <x:c r="T64" t="n">
        <x:f>$B$12*Q64*$B$9*SIN(R64*$B$7)*SIN(S64*$B$8)-3*$B$11*$B$14*R64*COS(R64*$B$7)*SIN(S64*$B$8)-3*$B$11*$B$14*S64*COS(S64*$B$8)*SIN(R64*$B$7)</x:f>
        <x:v>-7.450580596923828e-8</x:v>
      </x:c>
      <x:c r="U64" t="n">
        <x:f>P64-O64</x:f>
        <x:v>2.9103830456733704e-11</x:v>
      </x:c>
    </x:row>
    <x:row r="65">
      <x:c r="A65" t="n">
        <x:f>A64+1</x:f>
        <x:v>48</x:v>
      </x:c>
      <x:c r="B65" t="n">
        <x:f>10^(9*A65/299)</x:f>
        <x:v>27.849413500806442</x:v>
      </x:c>
      <x:c r="C65" t="n">
        <x:f>SQRT($B$12*B65/($B$10*$B$13))</x:f>
        <x:v>0.00001563374399490928</x:v>
      </x:c>
      <x:c r="D65" t="n">
        <x:f>SQRT($B$12*B65/($B$11*$B$14))</x:f>
        <x:v>0.00004499681213964913</x:v>
      </x:c>
      <x:c r="E65" t="n">
        <x:f>SIN(C65*$B$7)</x:f>
        <x:v>0.012506669130838768</x:v>
      </x:c>
      <x:c r="F65" t="n">
        <x:f>COS(C65*$B$7)</x:f>
        <x:v>0.9999217885551108</x:v>
      </x:c>
      <x:c r="G65" t="n">
        <x:f>SIN(D65*$B$8)</x:f>
        <x:v>0.04498162940424476</x:v>
      </x:c>
      <x:c r="H65" t="n">
        <x:f>COS(D65*$B$8)</x:f>
        <x:v>0.9989878142480714</x:v>
      </x:c>
      <x:c r="I65" t="n">
        <x:f>$B$12*B65*$B$9*E65*G65-3*$B$11*$B$14*C65*F65*G65-3*$B$11*$B$14*D65*H65*E65</x:f>
        <x:v>-156641.14124894392</x:v>
      </x:c>
      <x:c r="J65" t="n">
        <x:f>IF(AND(I64&lt;0,I65&gt;=0),1,0)</x:f>
        <x:v>0</x:v>
      </x:c>
      <x:c r="N65" t="n">
        <x:f>N64+1</x:f>
        <x:v>49</x:v>
      </x:c>
      <x:c r="O65" t="n">
        <x:f>IF(T64&lt;0,Q64,O64)</x:f>
        <x:v>57552.899182109904</x:v>
      </x:c>
      <x:c r="P65" t="n">
        <x:f>IF(T64&lt;0,P64,Q64)</x:f>
        <x:v>57552.89918210992</x:v>
      </x:c>
      <x:c r="Q65" t="n">
        <x:f>(O65+P65)/2</x:f>
        <x:v>57552.89918210991</x:v>
      </x:c>
      <x:c r="R65" t="n">
        <x:f>SQRT($B$12*Q65/($B$10*$B$13))</x:f>
        <x:v>0.0007107036930107259</x:v>
      </x:c>
      <x:c r="S65" t="n">
        <x:f>SQRT($B$12*Q65/($B$11*$B$14))</x:f>
        <x:v>0.002045536921403584</x:v>
      </x:c>
      <x:c r="T65" t="n">
        <x:f>$B$12*Q65*$B$9*SIN(R65*$B$7)*SIN(S65*$B$8)-3*$B$11*$B$14*R65*COS(R65*$B$7)*SIN(S65*$B$8)-3*$B$11*$B$14*S65*COS(S65*$B$8)*SIN(R65*$B$7)</x:f>
        <x:v>7.450580596923828e-9</x:v>
      </x:c>
      <x:c r="U65" t="n">
        <x:f>P65-O65</x:f>
        <x:v>1.4551915228366852e-11</x:v>
      </x:c>
    </x:row>
    <x:row r="66">
      <x:c r="A66" t="n">
        <x:f>A65+1</x:f>
        <x:v>49</x:v>
      </x:c>
      <x:c r="B66" t="n">
        <x:f>10^(9*A66/299)</x:f>
        <x:v>29.84807916924326</x:v>
      </x:c>
      <x:c r="C66" t="n">
        <x:f>SQRT($B$12*B66/($B$10*$B$13))</x:f>
        <x:v>0.000016185017125183224</x:v>
      </x:c>
      <x:c r="D66" t="n">
        <x:f>SQRT($B$12*B66/($B$11*$B$14))</x:f>
        <x:v>0.000046583478359119674</x:v>
      </x:c>
      <x:c r="E66" t="n">
        <x:f>SIN(C66*$B$7)</x:f>
        <x:v>0.01294765191181165</x:v>
      </x:c>
      <x:c r="F66" t="n">
        <x:f>COS(C66*$B$7)</x:f>
        <x:v>0.9999161756417237</x:v>
      </x:c>
      <x:c r="G66" t="n">
        <x:f>SIN(D66*$B$8)</x:f>
        <x:v>0.04656663233687545</x:v>
      </x:c>
      <x:c r="H66" t="n">
        <x:f>COS(D66*$B$8)</x:f>
        <x:v>0.9989151859656565</x:v>
      </x:c>
      <x:c r="I66" t="n">
        <x:f>$B$12*B66*$B$9*E66*G66-3*$B$11*$B$14*C66*F66*G66-3*$B$11*$B$14*D66*H66*E66</x:f>
        <x:v>-167874.2842307989</x:v>
      </x:c>
      <x:c r="J66" t="n">
        <x:f>IF(AND(I65&lt;0,I66&gt;=0),1,0)</x:f>
        <x:v>0</x:v>
      </x:c>
      <x:c r="N66" t="n">
        <x:f>N65+1</x:f>
        <x:v>50</x:v>
      </x:c>
      <x:c r="O66" t="n">
        <x:f>IF(T65&lt;0,Q65,O65)</x:f>
        <x:v>57552.899182109904</x:v>
      </x:c>
      <x:c r="P66" t="n">
        <x:f>IF(T65&lt;0,P65,Q65)</x:f>
        <x:v>57552.89918210991</x:v>
      </x:c>
      <x:c r="Q66" t="n">
        <x:f>(O66+P66)/2</x:f>
        <x:v>57552.899182109904</x:v>
      </x:c>
      <x:c r="R66" t="n">
        <x:f>SQRT($B$12*Q66/($B$10*$B$13))</x:f>
        <x:v>0.0007107036930107259</x:v>
      </x:c>
      <x:c r="S66" t="n">
        <x:f>SQRT($B$12*Q66/($B$11*$B$14))</x:f>
        <x:v>0.0020455369214035838</x:v>
      </x:c>
      <x:c r="T66" t="n">
        <x:f>$B$12*Q66*$B$9*SIN(R66*$B$7)*SIN(S66*$B$8)-3*$B$11*$B$14*R66*COS(R66*$B$7)*SIN(S66*$B$8)-3*$B$11*$B$14*S66*COS(S66*$B$8)*SIN(R66*$B$7)</x:f>
        <x:v>-7.450580596923828e-8</x:v>
      </x:c>
      <x:c r="U66" t="n">
        <x:f>P66-O66</x:f>
        <x:v>7.275957614183426e-12</x:v>
      </x:c>
    </x:row>
    <x:row r="67">
      <x:c r="A67" t="n">
        <x:f>A66+1</x:f>
        <x:v>50</x:v>
      </x:c>
      <x:c r="B67" t="n">
        <x:f>10^(9*A67/299)</x:f>
        <x:v>31.990182847750656</x:v>
      </x:c>
      <x:c r="C67" t="n">
        <x:f>SQRT($B$12*B67/($B$10*$B$13))</x:f>
        <x:v>0.000016755729109276258</x:v>
      </x:c>
      <x:c r="D67" t="n">
        <x:f>SQRT($B$12*B67/($B$11*$B$14))</x:f>
        <x:v>0.00004822609320188815</x:v>
      </x:c>
      <x:c r="E67" t="n">
        <x:f>SIN(C67*$B$7)</x:f>
        <x:v>0.013404181862065849</x:v>
      </x:c>
      <x:c r="F67" t="n">
        <x:f>COS(C67*$B$7)</x:f>
        <x:v>0.9999101599186843</x:v>
      </x:c>
      <x:c r="G67" t="n">
        <x:f>SIN(D67*$B$8)</x:f>
        <x:v>0.04820740168748562</x:v>
      </x:c>
      <x:c r="H67" t="n">
        <x:f>COS(D67*$B$8)</x:f>
        <x:v>0.998837347330656</x:v>
      </x:c>
      <x:c r="I67" t="n">
        <x:f>$B$12*B67*$B$9*E67*G67-3*$B$11*$B$14*C67*F67*G67-3*$B$11*$B$14*D67*H67*E67</x:f>
        <x:v>-179912.3307692545</x:v>
      </x:c>
      <x:c r="J67" t="n">
        <x:f>IF(AND(I66&lt;0,I67&gt;=0),1,0)</x:f>
        <x:v>0</x:v>
      </x:c>
    </x:row>
    <x:row r="68">
      <x:c r="A68" t="n">
        <x:f>A67+1</x:f>
        <x:v>51</x:v>
      </x:c>
      <x:c r="B68" t="n">
        <x:f>10^(9*A68/299)</x:f>
        <x:v>34.28601863556587</x:v>
      </x:c>
      <x:c r="C68" t="n">
        <x:f>SQRT($B$12*B68/($B$10*$B$13))</x:f>
        <x:v>0.000017346565395139757</x:v>
      </x:c>
      <x:c r="D68" t="n">
        <x:f>SQRT($B$12*B68/($B$11*$B$14))</x:f>
        <x:v>0.00004992662951417169</x:v>
      </x:c>
      <x:c r="E68" t="n">
        <x:f>SIN(C68*$B$7)</x:f>
        <x:v>0.01387680691117956</x:v>
      </x:c>
      <x:c r="F68" t="n">
        <x:f>COS(C68*$B$7)</x:f>
        <x:v>0.9999037124793316</x:v>
      </x:c>
      <x:c r="G68" t="n">
        <x:f>SIN(D68*$B$8)</x:f>
        <x:v>0.04990589034439311</x:v>
      </x:c>
      <x:c r="H68" t="n">
        <x:f>COS(D68*$B$8)</x:f>
        <x:v>0.9987539247026433</x:v>
      </x:c>
      <x:c r="I68" t="n">
        <x:f>$B$12*B68*$B$9*E68*G68-3*$B$11*$B$14*C68*F68*G68-3*$B$11*$B$14*D68*H68*E68</x:f>
        <x:v>-192812.85838986124</x:v>
      </x:c>
      <x:c r="J68" t="n">
        <x:f>IF(AND(I67&lt;0,I68&gt;=0),1,0)</x:f>
        <x:v>0</x:v>
      </x:c>
    </x:row>
    <x:row r="69">
      <x:c r="A69" t="n">
        <x:f>A68+1</x:f>
        <x:v>52</x:v>
      </x:c>
      <x:c r="B69" t="n">
        <x:f>10^(9*A69/299)</x:f>
        <x:v>36.7466194073669</x:v>
      </x:c>
      <x:c r="C69" t="n">
        <x:f>SQRT($B$12*B69/($B$10*$B$13))</x:f>
        <x:v>0.000017958235600817565</x:v>
      </x:c>
      <x:c r="D69" t="n">
        <x:f>SQRT($B$12*B69/($B$11*$B$14))</x:f>
        <x:v>0.00005168712970819221</x:v>
      </x:c>
      <x:c r="E69" t="n">
        <x:f>SIN(C69*$B$7)</x:f>
        <x:v>0.014366094277829195</x:v>
      </x:c>
      <x:c r="F69" t="n">
        <x:f>COS(C69*$B$7)</x:f>
        <x:v>0.999896802342722</x:v>
      </x:c>
      <x:c r="G69" t="n">
        <x:f>SIN(D69*$B$8)</x:f>
        <x:v>0.051664118576176477</x:v>
      </x:c>
      <x:c r="H69" t="n">
        <x:f>COS(D69*$B$8)</x:f>
        <x:v>0.9986645176693456</x:v>
      </x:c>
      <x:c r="I69" t="n">
        <x:f>$B$12*B69*$B$9*E69*G69-3*$B$11*$B$14*C69*F69*G69-3*$B$11*$B$14*D69*H69*E69</x:f>
        <x:v>-206637.5488546354</x:v>
      </x:c>
      <x:c r="J69" t="n">
        <x:f>IF(AND(I68&lt;0,I69&gt;=0),1,0)</x:f>
        <x:v>0</x:v>
      </x:c>
    </x:row>
    <x:row r="70">
      <x:c r="A70" t="n">
        <x:f>A69+1</x:f>
        <x:v>53</x:v>
      </x:c>
      <x:c r="B70" t="n">
        <x:f>10^(9*A70/299)</x:f>
        <x:v>39.38380983288489</x:v>
      </x:c>
      <x:c r="C70" t="n">
        <x:f>SQRT($B$12*B70/($B$10*$B$13))</x:f>
        <x:v>0.000018591474366725678</x:v>
      </x:c>
      <x:c r="D70" t="n">
        <x:f>SQRT($B$12*B70/($B$11*$B$14))</x:f>
        <x:v>0.00005350970821519531</x:v>
      </x:c>
      <x:c r="E70" t="n">
        <x:f>SIN(C70*$B$7)</x:f>
        <x:v>0.014872631146466747</x:v>
      </x:c>
      <x:c r="F70" t="n">
        <x:f>COS(C70*$B$7)</x:f>
        <x:v>0.9998893963048019</x:v>
      </x:c>
      <x:c r="G70" t="n">
        <x:f>SIN(D70*$B$8)</x:f>
        <x:v>0.05348417624538222</x:v>
      </x:c>
      <x:c r="H70" t="n">
        <x:f>COS(D70*$B$8)</x:f>
        <x:v>0.9985686971317261</x:v>
      </x:c>
      <x:c r="I70" t="n">
        <x:f>$B$12*B70*$B$9*E70*G70-3*$B$11*$B$14*C70*F70*G70-3*$B$11*$B$14*D70*H70*E70</x:f>
        <x:v>-221452.47856180454</x:v>
      </x:c>
      <x:c r="J70" t="n">
        <x:f>IF(AND(I69&lt;0,I70&gt;=0),1,0)</x:f>
        <x:v>0</x:v>
      </x:c>
    </x:row>
    <x:row r="71">
      <x:c r="A71" t="n">
        <x:f>A70+1</x:f>
        <x:v>54</x:v>
      </x:c>
      <x:c r="B71" t="n">
        <x:f>10^(9*A71/299)</x:f>
        <x:v>42.210263201569006</x:v>
      </x:c>
      <x:c r="C71" t="n">
        <x:f>SQRT($B$12*B71/($B$10*$B$13))</x:f>
        <x:v>0.00001924704223798479</x:v>
      </x:c>
      <x:c r="D71" t="n">
        <x:f>SQRT($B$12*B71/($B$11*$B$14))</x:f>
        <x:v>0.000055396554024966884</x:v>
      </x:c>
      <x:c r="E71" t="n">
        <x:f>SIN(C71*$B$7)</x:f>
        <x:v>0.015397025367475699</x:v>
      </x:c>
      <x:c r="F71" t="n">
        <x:f>COS(C71*$B$7)</x:f>
        <x:v>0.9998814587789061</x:v>
      </x:c>
      <x:c r="G71" t="n">
        <x:f>SIN(D71*$B$8)</x:f>
        <x:v>0.05536822508254042</x:v>
      </x:c>
      <x:c r="H71" t="n">
        <x:f>COS(D71*$B$8)</x:f>
        <x:v>0.998466003252594</x:v>
      </x:c>
      <x:c r="I71" t="n">
        <x:f>$B$12*B71*$B$9*E71*G71-3*$B$11*$B$14*C71*F71*G71-3*$B$11*$B$14*D71*H71*E71</x:f>
        <x:v>-237328.42917056105</x:v>
      </x:c>
      <x:c r="J71" t="n">
        <x:f>IF(AND(I70&lt;0,I71&gt;=0),1,0)</x:f>
        <x:v>0</x:v>
      </x:c>
    </x:row>
    <x:row r="72">
      <x:c r="A72" t="n">
        <x:f>A71+1</x:f>
        <x:v>55</x:v>
      </x:c>
      <x:c r="B72" t="n">
        <x:f>10^(9*A72/299)</x:f>
        <x:v>45.23956232538053</x:v>
      </x:c>
      <x:c r="C72" t="n">
        <x:f>SQRT($B$12*B72/($B$10*$B$13))</x:f>
        <x:v>0.00001992572657786548</x:v>
      </x:c>
      <x:c r="D72" t="n">
        <x:f>SQRT($B$12*B72/($B$11*$B$14))</x:f>
        <x:v>0.00005734993331489751</x:v>
      </x:c>
      <x:c r="E72" t="n">
        <x:f>SIN(C72*$B$7)</x:f>
        <x:v>0.015939906181591447</x:v>
      </x:c>
      <x:c r="F72" t="n">
        <x:f>COS(C72*$B$7)</x:f>
        <x:v>0.9998729516248163</x:v>
      </x:c>
      <x:c r="G72" t="n">
        <x:f>SIN(D72*$B$8)</x:f>
        <x:v>0.057318501020675365</x:v>
      </x:c>
      <x:c r="H72" t="n">
        <x:f>COS(D72*$B$8)</x:f>
        <x:v>0.9983559432590877</x:v>
      </x:c>
      <x:c r="I72" t="n">
        <x:f>$B$12*B72*$B$9*E72*G72-3*$B$11*$B$14*C72*F72*G72-3*$B$11*$B$14*D72*H72*E72</x:f>
        <x:v>-254341.2198108827</x:v>
      </x:c>
      <x:c r="J72" t="n">
        <x:f>IF(AND(I71&lt;0,I72&gt;=0),1,0)</x:f>
        <x:v>0</x:v>
      </x:c>
    </x:row>
    <x:row r="73">
      <x:c r="A73" t="n">
        <x:f>A72+1</x:f>
        <x:v>56</x:v>
      </x:c>
      <x:c r="B73" t="n">
        <x:f>10^(9*A73/299)</x:f>
        <x:v>48.48626481239081</x:v>
      </x:c>
      <x:c r="C73" t="n">
        <x:f>SQRT($B$12*B73/($B$10*$B$13))</x:f>
        <x:v>0.000020628342513443</x:v>
      </x:c>
      <x:c r="D73" t="n">
        <x:f>SQRT($B$12*B73/($B$11*$B$14))</x:f>
        <x:v>0.00005937219217175229</x:v>
      </x:c>
      <x:c r="E73" t="n">
        <x:f>SIN(C73*$B$7)</x:f>
        <x:v>0.016501924969395395</x:v>
      </x:c>
      <x:c r="F73" t="n">
        <x:f>COS(C73*$B$7)</x:f>
        <x:v>0.9998638339655578</x:v>
      </x:c>
      <x:c r="G73" t="n">
        <x:f>SIN(D73*$B$8)</x:f>
        <x:v>0.05933731659029255</x:v>
      </x:c>
      <x:c r="H73" t="n">
        <x:f>COS(D73*$B$8)</x:f>
        <x:v>0.998237989088706</x:v>
      </x:c>
      <x:c r="I73" t="n">
        <x:f>$B$12*B73*$B$9*E73*G73-3*$B$11*$B$14*C73*F73*G73-3*$B$11*$B$14*D73*H73*E73</x:f>
        <x:v>-272572.06232252764</x:v>
      </x:c>
      <x:c r="J73" t="n">
        <x:f>IF(AND(I72&lt;0,I73&gt;=0),1,0)</x:f>
        <x:v>0</x:v>
      </x:c>
    </x:row>
    <x:row r="74">
      <x:c r="A74" t="n">
        <x:f>A73+1</x:f>
        <x:v>57</x:v>
      </x:c>
      <x:c r="B74" t="n">
        <x:f>10^(9*A74/299)</x:f>
        <x:v>51.965973024861974</x:v>
      </x:c>
      <x:c r="C74" t="n">
        <x:f>SQRT($B$12*B74/($B$10*$B$13))</x:f>
        <x:v>0.000021355733914597563</x:v>
      </x:c>
      <x:c r="D74" t="n">
        <x:f>SQRT($B$12*B74/($B$11*$B$14))</x:f>
        <x:v>0.00006146575940941499</x:v>
      </x:c>
      <x:c r="E74" t="n">
        <x:f>SIN(C74*$B$7)</x:f>
        <x:v>0.017083756026715337</x:v>
      </x:c>
      <x:c r="F74" t="n">
        <x:f>COS(C74*$B$7)</x:f>
        <x:v>0.9998540619910586</x:v>
      </x:c>
      <x:c r="G74" t="n">
        <x:f>SIN(D74*$B$8)</x:f>
        <x:v>0.06142706337458759</x:v>
      </x:c>
      <x:c r="H74" t="n">
        <x:f>COS(D74*$B$8)</x:f>
        <x:v>0.9981115748678473</x:v>
      </x:c>
      <x:c r="I74" t="n">
        <x:f>$B$12*B74*$B$9*E74*G74-3*$B$11*$B$14*C74*F74*G74-3*$B$11*$B$14*D74*H74*E74</x:f>
        <x:v>-292107.94105539436</x:v>
      </x:c>
      <x:c r="J74" t="n">
        <x:f>IF(AND(I73&lt;0,I74&gt;=0),1,0)</x:f>
        <x:v>0</x:v>
      </x:c>
    </x:row>
    <x:row r="75">
      <x:c r="A75" t="n">
        <x:f>A74+1</x:f>
        <x:v>58</x:v>
      </x:c>
      <x:c r="B75" t="n">
        <x:f>10^(9*A75/299)</x:f>
        <x:v>55.69540905800133</x:v>
      </x:c>
      <x:c r="C75" t="n">
        <x:f>SQRT($B$12*B75/($B$10*$B$13))</x:f>
        <x:v>0.00002210877440753586</x:v>
      </x:c>
      <x:c r="D75" t="n">
        <x:f>SQRT($B$12*B75/($B$11*$B$14))</x:f>
        <x:v>0.00006363314948599081</x:v>
      </x:c>
      <x:c r="E75" t="n">
        <x:f>SIN(C75*$B$7)</x:f>
        <x:v>0.01768609736678834</x:v>
      </x:c>
      <x:c r="F75" t="n">
        <x:f>COS(C75*$B$7)</x:f>
        <x:v>0.9998435887477263</x:v>
      </x:c>
      <x:c r="G75" t="n">
        <x:f>SIN(D75*$B$8)</x:f>
        <x:v>0.06359021452435407</x:v>
      </x:c>
      <x:c r="H75" t="n">
        <x:f>COS(D75*$B$8)</x:f>
        <x:v>0.997976094211052</x:v>
      </x:c>
      <x:c r="I75" t="n">
        <x:f>$B$12*B75*$B$9*E75*G75-3*$B$11*$B$14*C75*F75*G75-3*$B$11*$B$14*D75*H75*E75</x:f>
        <x:v>-313042.01885553094</x:v>
      </x:c>
      <x:c r="J75" t="n">
        <x:f>IF(AND(I74&lt;0,I75&gt;=0),1,0)</x:f>
        <x:v>0</x:v>
      </x:c>
    </x:row>
    <x:row r="76">
      <x:c r="A76" t="n">
        <x:f>A75+1</x:f>
        <x:v>59</x:v>
      </x:c>
      <x:c r="B76" t="n">
        <x:f>10^(9*A76/299)</x:f>
        <x:v>59.69249509970734</x:v>
      </x:c>
      <x:c r="C76" t="n">
        <x:f>SQRT($B$12*B76/($B$10*$B$13))</x:f>
        <x:v>0.000022888368424051126</x:v>
      </x:c>
      <x:c r="D76" t="n">
        <x:f>SQRT($B$12*B76/($B$11*$B$14))</x:f>
        <x:v>0.0000658769655237713</x:v>
      </x:c>
      <x:c r="E76" t="n">
        <x:f>SIN(C76*$B$7)</x:f>
        <x:v>0.018309671550066502</x:v>
      </x:c>
      <x:c r="F76" t="n">
        <x:f>COS(C76*$B$7)</x:f>
        <x:v>0.9998323639129355</x:v>
      </x:c>
      <x:c r="G76" t="n">
        <x:f>SIN(D76*$B$8)</x:f>
        <x:v>0.06582932733175977</x:v>
      </x:c>
      <x:c r="H76" t="n">
        <x:f>COS(D76*$B$8)</x:f>
        <x:v>0.9978308973283239</x:v>
      </x:c>
      <x:c r="I76" t="n">
        <x:f>$B$12*B76*$B$9*E76*G76-3*$B$11*$B$14*C76*F76*G76-3*$B$11*$B$14*D76*H76*E76</x:f>
        <x:v>-335474.0709571447</x:v>
      </x:c>
      <x:c r="J76" t="n">
        <x:f>IF(AND(I75&lt;0,I76&gt;=0),1,0)</x:f>
        <x:v>0</x:v>
      </x:c>
    </x:row>
    <x:row r="77">
      <x:c r="A77" t="n">
        <x:f>A76+1</x:f>
        <x:v>60</x:v>
      </x:c>
      <x:c r="B77" t="n">
        <x:f>10^(9*A77/299)</x:f>
        <x:v>63.97643955748427</x:v>
      </x:c>
      <x:c r="C77" t="n">
        <x:f>SQRT($B$12*B77/($B$10*$B$13))</x:f>
        <x:v>0.00002369545228778195</x:v>
      </x:c>
      <x:c r="D77" t="n">
        <x:f>SQRT($B$12*B77/($B$11*$B$14))</x:f>
        <x:v>0.00006819990243568848</x:v>
      </x:c>
      <x:c r="E77" t="n">
        <x:f>SIN(C77*$B$7)</x:f>
        <x:v>0.018955226542569748</x:v>
      </x:c>
      <x:c r="F77" t="n">
        <x:f>COS(C77*$B$7)</x:f>
        <x:v>0.9998203335533439</x:v>
      </x:c>
      <x:c r="G77" t="n">
        <x:f>SIN(D77*$B$8)</x:f>
        <x:v>0.06814704586181192</x:v>
      </x:c>
      <x:c r="H77" t="n">
        <x:f>COS(D77*$B$8)</x:f>
        <x:v>0.997675287927043</x:v>
      </x:c>
      <x:c r="I77" t="n">
        <x:f>$B$12*B77*$B$9*E77*G77-3*$B$11*$B$14*C77*F77*G77-3*$B$11*$B$14*D77*H77*E77</x:f>
        <x:v>-359510.9486008927</x:v>
      </x:c>
      <x:c r="J77" t="n">
        <x:f>IF(AND(I76&lt;0,I77&gt;=0),1,0)</x:f>
        <x:v>0</x:v>
      </x:c>
    </x:row>
    <x:row r="78">
      <x:c r="A78" t="n">
        <x:f>A77+1</x:f>
        <x:v>61</x:v>
      </x:c>
      <x:c r="B78" t="n">
        <x:f>10^(9*A78/299)</x:f>
        <x:v>68.56782936641741</x:v>
      </x:c>
      <x:c r="C78" t="n">
        <x:f>SQRT($B$12*B78/($B$10*$B$13))</x:f>
        <x:v>0.000024530995338774472</x:v>
      </x:c>
      <x:c r="D78" t="n">
        <x:f>SQRT($B$12*B78/($B$11*$B$14))</x:f>
        <x:v>0.00007060475016201316</x:v>
      </x:c>
      <x:c r="E78" t="n">
        <x:f>SIN(C78*$B$7)</x:f>
        <x:v>0.019623536603714246</x:v>
      </x:c>
      <x:c r="F78" t="n">
        <x:f>COS(C78*$B$7)</x:f>
        <x:v>0.9998074398658787</x:v>
      </x:c>
      <x:c r="G78" t="n">
        <x:f>SIN(D78*$B$8)</x:f>
        <x:v>0.07054610363993565</x:v>
      </x:c>
      <x:c r="H78" t="n">
        <x:f>COS(D78*$B$8)</x:f>
        <x:v>0.9975085198940525</x:v>
      </x:c>
      <x:c r="I78" t="n">
        <x:f>$B$12*B78*$B$9*E78*G78-3*$B$11*$B$14*C78*F78*G78-3*$B$11*$B$14*D78*H78*E78</x:f>
        <x:v>-385267.07430235005</x:v>
      </x:c>
      <x:c r="J78" t="n">
        <x:f>IF(AND(I77&lt;0,I78&gt;=0),1,0)</x:f>
        <x:v>0</x:v>
      </x:c>
    </x:row>
    <x:row r="79">
      <x:c r="A79" t="n">
        <x:f>A78+1</x:f>
        <x:v>62</x:v>
      </x:c>
      <x:c r="B79" t="n">
        <x:f>10^(9*A79/299)</x:f>
        <x:v>73.48872892180388</x:v>
      </x:c>
      <x:c r="C79" t="n">
        <x:f>SQRT($B$12*B79/($B$10*$B$13))</x:f>
        <x:v>0.00002539600109769858</x:v>
      </x:c>
      <x:c r="D79" t="n">
        <x:f>SQRT($B$12*B79/($B$11*$B$14))</x:f>
        <x:v>0.00007309439702118501</x:v>
      </x:c>
      <x:c r="E79" t="n">
        <x:f>SIN(C79*$B$7)</x:f>
        <x:v>0.02031540320456913</x:v>
      </x:c>
      <x:c r="F79" t="n">
        <x:f>COS(C79*$B$7)</x:f>
        <x:v>0.9997936209001514</x:v>
      </x:c>
      <x:c r="G79" t="n">
        <x:f>SIN(D79*$B$8)</x:f>
        <x:v>0.07302932639364147</x:v>
      </x:c>
      <x:c r="H79" t="n">
        <x:f>COS(D79*$B$8)</x:f>
        <x:v>0.9973297937425167</x:v>
      </x:c>
      <x:c r="I79" t="n">
        <x:f>$B$12*B79*$B$9*E79*G79-3*$B$11*$B$14*C79*F79*G79-3*$B$11*$B$14*D79*H79*E79</x:f>
        <x:v>-412864.9708016246</x:v>
      </x:c>
      <x:c r="J79" t="n">
        <x:f>IF(AND(I78&lt;0,I79&gt;=0),1,0)</x:f>
        <x:v>0</x:v>
      </x:c>
    </x:row>
    <x:row r="80">
      <x:c r="A80" t="n">
        <x:f>A79+1</x:f>
        <x:v>63</x:v>
      </x:c>
      <x:c r="B80" t="n">
        <x:f>10^(9*A80/299)</x:f>
        <x:v>78.7627861118706</x:v>
      </x:c>
      <x:c r="C80" t="n">
        <x:f>SQRT($B$12*B80/($B$10*$B$13))</x:f>
        <x:v>0.000026291508471116465</x:v>
      </x:c>
      <x:c r="D80" t="n">
        <x:f>SQRT($B$12*B80/($B$11*$B$14))</x:f>
        <x:v>0.00007567183317879871</x:v>
      </x:c>
      <x:c r="E80" t="n">
        <x:f>SIN(C80*$B$7)</x:f>
        <x:v>0.021031655977518274</x:v>
      </x:c>
      <x:c r="F80" t="n">
        <x:f>COS(C80*$B$7)</x:f>
        <x:v>0.9997788102609714</x:v>
      </x:c>
      <x:c r="G80" t="n">
        <x:f>SIN(D80*$B$8)</x:f>
        <x:v>0.07559963484575057</x:v>
      </x:c>
      <x:c r="H80" t="n">
        <x:f>COS(D80*$B$8)</x:f>
        <x:v>0.9971382528070966</x:v>
      </x:c>
      <x:c r="I80" t="n">
        <x:f>$B$12*B80*$B$9*E80*G80-3*$B$11*$B$14*C80*F80*G80-3*$B$11*$B$14*D80*H80*E80</x:f>
        <x:v>-442435.8258352544</x:v>
      </x:c>
      <x:c r="J80" t="n">
        <x:f>IF(AND(I79&lt;0,I80&gt;=0),1,0)</x:f>
        <x:v>0</x:v>
      </x:c>
    </x:row>
    <x:row r="81">
      <x:c r="A81" t="n">
        <x:f>A80+1</x:f>
        <x:v>64</x:v>
      </x:c>
      <x:c r="B81" t="n">
        <x:f>10^(9*A81/299)</x:f>
        <x:v>84.41534596012986</x:v>
      </x:c>
      <x:c r="C81" t="n">
        <x:f>SQRT($B$12*B81/($B$10*$B$13))</x:f>
        <x:v>0.00002721859299925098</x:v>
      </x:c>
      <x:c r="D81" t="n">
        <x:f>SQRT($B$12*B81/($B$11*$B$14))</x:f>
        <x:v>0.00007834015423891251</x:v>
      </x:c>
      <x:c r="E81" t="n">
        <x:f>SIN(C81*$B$7)</x:f>
        <x:v>0.021773153698327795</x:v>
      </x:c>
      <x:c r="F81" t="n">
        <x:f>COS(C81*$B$7)</x:f>
        <x:v>0.9997629367895317</x:v>
      </x:c>
      <x:c r="G81" t="n">
        <x:f>SIN(D81*$B$8)</x:f>
        <x:v>0.07826004755607399</x:v>
      </x:c>
      <x:c r="H81" t="n">
        <x:f>COS(D81*$B$8)</x:f>
        <x:v>0.9969329791698743</x:v>
      </x:c>
      <x:c r="I81" t="n">
        <x:f>$B$12*B81*$B$9*E81*G81-3*$B$11*$B$14*C81*F81*G81-3*$B$11*$B$14*D81*H81*E81</x:f>
        <x:v>-474120.0949843548</x:v>
      </x:c>
      <x:c r="J81" t="n">
        <x:f>IF(AND(I80&lt;0,I81&gt;=0),1,0)</x:f>
        <x:v>0</x:v>
      </x:c>
    </x:row>
    <x:row r="82">
      <x:c r="A82" t="n">
        <x:f>A81+1</x:f>
        <x:v>65</x:v>
      </x:c>
      <x:c r="B82" t="n">
        <x:f>10^(9*A82/299)</x:f>
        <x:v>90.47357242349298</x:v>
      </x:c>
      <x:c r="C82" t="n">
        <x:f>SQRT($B$12*B82/($B$10*$B$13))</x:f>
        <x:v>0.000028178368147752545</x:v>
      </x:c>
      <x:c r="D82" t="n">
        <x:f>SQRT($B$12*B82/($B$11*$B$14))</x:f>
        <x:v>0.00008110256496199275</x:v>
      </x:c>
      <x:c r="E82" t="n">
        <x:f>SIN(C82*$B$7)</x:f>
        <x:v>0.022540785301643666</x:v>
      </x:c>
      <x:c r="F82" t="n">
        <x:f>COS(C82*$B$7)</x:f>
        <x:v>0.999745924221742</x:v>
      </x:c>
      <x:c r="G82" t="n">
        <x:f>SIN(D82*$B$8)</x:f>
        <x:v>0.08101368380779848</x:v>
      </x:c>
      <x:c r="H82" t="n">
        <x:f>COS(D82*$B$8)</x:f>
        <x:v>0.9967129892982683</x:v>
      </x:c>
      <x:c r="I82" t="n">
        <x:f>$B$12*B82*$B$9*E82*G82-3*$B$11*$B$14*C82*F82*G82-3*$B$11*$B$14*D82*H82*E82</x:f>
        <x:v>-508068.14496788196</x:v>
      </x:c>
      <x:c r="J82" t="n">
        <x:f>IF(AND(I81&lt;0,I82&gt;=0),1,0)</x:f>
        <x:v>0</x:v>
      </x:c>
    </x:row>
    <x:row r="83">
      <x:c r="A83" t="n">
        <x:f>A82+1</x:f>
        <x:v>66</x:v>
      </x:c>
      <x:c r="B83" t="n">
        <x:f>10^(9*A83/299)</x:f>
        <x:v>96.9665789314552</x:v>
      </x:c>
      <x:c r="C83" t="n">
        <x:f>SQRT($B$12*B83/($B$10*$B$13))</x:f>
        <x:v>0.000029171986645015992</x:v>
      </x:c>
      <x:c r="D83" t="n">
        <x:f>SQRT($B$12*B83/($B$11*$B$14))</x:f>
        <x:v>0.00008396238311395956</x:v>
      </x:c>
      <x:c r="E83" t="n">
        <x:f>SIN(C83*$B$7)</x:f>
        <x:v>0.02333547093096679</x:v>
      </x:c>
      <x:c r="F83" t="n">
        <x:f>COS(C83*$B$7)</x:f>
        <x:v>0.9997276908220708</x:v>
      </x:c>
      <x:c r="G83" t="n">
        <x:f>SIN(D83*$B$8)</x:f>
        <x:v>0.08386376653410524</x:v>
      </x:c>
      <x:c r="H83" t="n">
        <x:f>COS(D83*$B$8)</x:f>
        <x:v>0.9964772293749181</x:v>
      </x:c>
      <x:c r="I83" t="n">
        <x:f>$B$12*B83*$B$9*E83*G83-3*$B$11*$B$14*C83*F83*G83-3*$B$11*$B$14*D83*H83*E83</x:f>
        <x:v>-544440.9398661181</x:v>
      </x:c>
      <x:c r="J83" t="n">
        <x:f>IF(AND(I82&lt;0,I83&gt;=0),1,0)</x:f>
        <x:v>0</x:v>
      </x:c>
    </x:row>
    <x:row r="84">
      <x:c r="A84" t="n">
        <x:f>A83+1</x:f>
        <x:v>67</x:v>
      </x:c>
      <x:c r="B84" t="n">
        <x:f>10^(9*A84/299)</x:f>
        <x:v>103.9255682936713</x:v>
      </x:c>
      <x:c r="C84" t="n">
        <x:f>SQRT($B$12*B84/($B$10*$B$13))</x:f>
        <x:v>0.00003020064186665352</x:v>
      </x:c>
      <x:c r="D84" t="n">
        <x:f>SQRT($B$12*B84/($B$11*$B$14))</x:f>
        <x:v>0.00008692304345095657</x:v>
      </x:c>
      <x:c r="E84" t="n">
        <x:f>SIN(C84*$B$7)</x:f>
        <x:v>0.024158163024175564</x:v>
      </x:c>
      <x:c r="F84" t="n">
        <x:f>COS(C84*$B$7)</x:f>
        <x:v>0.999708148991143</x:v>
      </x:c>
      <x:c r="G84" t="n">
        <x:f>SIN(D84*$B$8)</x:f>
        <x:v>0.08681362527973417</x:v>
      </x:c>
      <x:c r="H84" t="n">
        <x:f>COS(D84*$B$8)</x:f>
        <x:v>0.9962245702981782</x:v>
      </x:c>
      <x:c r="I84" t="n">
        <x:f>$B$12*B84*$B$9*E84*G84-3*$B$11*$B$14*C84*F84*G84-3*$B$11*$B$14*D84*H84*E84</x:f>
        <x:v>-583410.7728761478</x:v>
      </x:c>
      <x:c r="J84" t="n">
        <x:f>IF(AND(I83&lt;0,I84&gt;=0),1,0)</x:f>
        <x:v>0</x:v>
      </x:c>
    </x:row>
    <x:row r="85">
      <x:c r="A85" t="n">
        <x:f>A84+1</x:f>
        <x:v>68</x:v>
      </x:c>
      <x:c r="B85" t="n">
        <x:f>10^(9*A85/299)</x:f>
        <x:v>111.38398264826195</x:v>
      </x:c>
      <x:c r="C85" t="n">
        <x:f>SQRT($B$12*B85/($B$10*$B$13))</x:f>
        <x:v>0.00003126556926878659</x:v>
      </x:c>
      <x:c r="D85" t="n">
        <x:f>SQRT($B$12*B85/($B$11*$B$14))</x:f>
        <x:v>0.00008998810184463053</x:v>
      </x:c>
      <x:c r="E85" t="n">
        <x:f>SIN(C85*$B$7)</x:f>
        <x:v>0.02500984743568779</x:v>
      </x:c>
      <x:c r="F85" t="n">
        <x:f>COS(C85*$B$7)</x:f>
        <x:v>0.9996872048452173</x:v>
      </x:c>
      <x:c r="G85" t="n">
        <x:f>SIN(D85*$B$8)</x:f>
        <x:v>0.08986669919129144</x:v>
      </x:c>
      <x:c r="H85" t="n">
        <x:f>COS(D85*$B$8)</x:f>
        <x:v>0.9959538023304404</x:v>
      </x:c>
      <x:c r="I85" t="n">
        <x:f>$B$12*B85*$B$9*E85*G85-3*$B$11*$B$14*C85*F85*G85-3*$B$11*$B$14*D85*H85*E85</x:f>
        <x:v>-625162.0463170423</x:v>
      </x:c>
      <x:c r="J85" t="n">
        <x:f>IF(AND(I84&lt;0,I85&gt;=0),1,0)</x:f>
        <x:v>0</x:v>
      </x:c>
    </x:row>
    <x:row r="86">
      <x:c r="A86" t="n">
        <x:f>A85+1</x:f>
        <x:v>69</x:v>
      </x:c>
      <x:c r="B86" t="n">
        <x:f>10^(9*A86/299)</x:f>
        <x:v>119.3776641714437</x:v>
      </x:c>
      <x:c r="C86" t="n">
        <x:f>SQRT($B$12*B86/($B$10*$B$13))</x:f>
        <x:v>0.0000323680478718783</x:v>
      </x:c>
      <x:c r="D86" t="n">
        <x:f>SQRT($B$12*B86/($B$11*$B$14))</x:f>
        <x:v>0.00009316123955287584</x:v>
      </x:c>
      <x:c r="E86" t="n">
        <x:f>SIN(C86*$B$7)</x:f>
        <x:v>0.025891544596374463</x:v>
      </x:c>
      <x:c r="F86" t="n">
        <x:f>COS(C86*$B$7)</x:f>
        <x:v>0.9996647577655291</x:v>
      </x:c>
      <x:c r="G86" t="n">
        <x:f>SIN(D86*$B$8)</x:f>
        <x:v>0.09302654002907342</x:v>
      </x:c>
      <x:c r="H86" t="n">
        <x:f>COS(D86*$B$8)</x:f>
        <x:v>0.9956636293699892</x:v>
      </x:c>
      <x:c r="I86" t="n">
        <x:f>$B$12*B86*$B$9*E86*G86-3*$B$11*$B$14*C86*F86*G86-3*$B$11*$B$14*D86*H86*E86</x:f>
        <x:v>-669892.102716337</x:v>
      </x:c>
      <x:c r="J86" t="n">
        <x:f>IF(AND(I85&lt;0,I86&gt;=0),1,0)</x:f>
        <x:v>0</x:v>
      </x:c>
    </x:row>
    <x:row r="87">
      <x:c r="A87" t="n">
        <x:f>A86+1</x:f>
        <x:v>70</x:v>
      </x:c>
      <x:c r="B87" t="n">
        <x:f>10^(9*A87/299)</x:f>
        <x:v>127.94502732078735</x:v>
      </x:c>
      <x:c r="C87" t="n">
        <x:f>SQRT($B$12*B87/($B$10*$B$13))</x:f>
        <x:v>0.00003350940179688803</x:v>
      </x:c>
      <x:c r="D87" t="n">
        <x:f>SQRT($B$12*B87/($B$11*$B$14))</x:f>
        <x:v>0.00009644626764117237</x:v>
      </x:c>
      <x:c r="E87" t="n">
        <x:f>SIN(C87*$B$7)</x:f>
        <x:v>0.026804310712357445</x:v>
      </x:c>
      <x:c r="F87" t="n">
        <x:f>COS(C87*$B$7)</x:f>
        <x:v>0.9996406999153423</x:v>
      </x:c>
      <x:c r="G87" t="n">
        <x:f>SIN(D87*$B$8)</x:f>
        <x:v>0.09629681519203138</x:v>
      </x:c>
      <x:c r="H87" t="n">
        <x:f>COS(D87*$B$8)</x:f>
        <x:v>0.9953526628205059</x:v>
      </x:c>
      <x:c r="I87" t="n">
        <x:f>$B$12*B87*$B$9*E87*G87-3*$B$11*$B$14*C87*F87*G87-3*$B$11*$B$14*D87*H87*E87</x:f>
        <x:v>-717812.1099194675</x:v>
      </x:c>
      <x:c r="J87" t="n">
        <x:f>IF(AND(I86&lt;0,I87&gt;=0),1,0)</x:f>
        <x:v>0</x:v>
      </x:c>
    </x:row>
    <x:row r="88">
      <x:c r="A88" t="n">
        <x:f>A87+1</x:f>
        <x:v>71</x:v>
      </x:c>
      <x:c r="B88" t="n">
        <x:f>10^(9*A88/299)</x:f>
        <x:v>137.1272434398401</x:v>
      </x:c>
      <x:c r="C88" t="n">
        <x:f>SQRT($B$12*B88/($B$10*$B$13))</x:f>
        <x:v>0.00003469100185559394</x:v>
      </x:c>
      <x:c r="D88" t="n">
        <x:f>SQRT($B$12*B88/($B$11*$B$14))</x:f>
        <x:v>0.00009984713155982813</x:v>
      </x:c>
      <x:c r="E88" t="n">
        <x:f>SIN(C88*$B$7)</x:f>
        <x:v>0.027749239003841786</x:v>
      </x:c>
      <x:c r="F88" t="n">
        <x:f>COS(C88*$B$7)</x:f>
        <x:v>0.9996149157224034</x:v>
      </x:c>
      <x:c r="G88" t="n">
        <x:f>SIN(D88*$B$8)</x:f>
        <x:v>0.09968131074621843</x:v>
      </x:c>
      <x:c r="H88" t="n">
        <x:f>COS(D88*$B$8)</x:f>
        <x:v>0.9950194150306394</x:v>
      </x:c>
      <x:c r="I88" t="n">
        <x:f>$B$12*B88*$B$9*E88*G88-3*$B$11*$B$14*C88*F88*G88-3*$B$11*$B$14*D88*H88*E88</x:f>
        <x:v>-769148.0032681872</x:v>
      </x:c>
      <x:c r="J88" t="n">
        <x:f>IF(AND(I87&lt;0,I88&gt;=0),1,0)</x:f>
        <x:v>0</x:v>
      </x:c>
    </x:row>
    <x:row r="89">
      <x:c r="A89" t="n">
        <x:f>A88+1</x:f>
        <x:v>72</x:v>
      </x:c>
      <x:c r="B89" t="n">
        <x:f>10^(9*A89/299)</x:f>
        <x:v>146.9684386112446</x:v>
      </x:c>
      <x:c r="C89" t="n">
        <x:f>SQRT($B$12*B89/($B$10*$B$13))</x:f>
        <x:v>0.00003591426719699263</x:v>
      </x:c>
      <x:c r="D89" t="n">
        <x:f>SQRT($B$12*B89/($B$11*$B$14))</x:f>
        <x:v>0.0001033679158826227</x:v>
      </x:c>
      <x:c r="E89" t="n">
        <x:f>SIN(C89*$B$7)</x:f>
        <x:v>0.02872746098514873</x:v>
      </x:c>
      <x:c r="F89" t="n">
        <x:f>COS(C89*$B$7)</x:f>
        <x:v>0.9995872813243207</x:v>
      </x:c>
      <x:c r="G89" t="n">
        <x:f>SIN(D89*$B$8)</x:f>
        <x:v>0.1031839344456219</x:v>
      </x:c>
      <x:c r="H89" t="n">
        <x:f>COS(D89*$B$8)</x:f>
        <x:v>0.9946622922742782</x:v>
      </x:c>
      <x:c r="I89" t="n">
        <x:f>$B$12*B89*$B$9*E89*G89-3*$B$11*$B$14*C89*F89*G89-3*$B$11*$B$14*D89*H89*E89</x:f>
        <x:v>-824141.4879900801</x:v>
      </x:c>
      <x:c r="J89" t="n">
        <x:f>IF(AND(I88&lt;0,I89&gt;=0),1,0)</x:f>
        <x:v>0</x:v>
      </x:c>
    </x:row>
    <x:row r="90">
      <x:c r="A90" t="n">
        <x:f>A89+1</x:f>
        <x:v>73</x:v>
      </x:c>
      <x:c r="B90" t="n">
        <x:f>10^(9*A90/299)</x:f>
        <x:v>157.5159057091623</x:v>
      </x:c>
      <x:c r="C90" t="n">
        <x:f>SQRT($B$12*B90/($B$10*$B$13))</x:f>
        <x:v>0.00003718066701175408</x:v>
      </x:c>
      <x:c r="D90" t="n">
        <x:f>SQRT($B$12*B90/($B$11*$B$14))</x:f>
        <x:v>0.00010701284921254436</x:v>
      </x:c>
      <x:c r="E90" t="n">
        <x:f>SIN(C90*$B$7)</x:f>
        <x:v>0.02974014778713115</x:v>
      </x:c>
      <x:c r="F90" t="n">
        <x:f>COS(C90*$B$7)</x:f>
        <x:v>0.99955766397422</x:v>
      </x:c>
      <x:c r="G90" t="n">
        <x:f>SIN(D90*$B$8)</x:f>
        <x:v>0.10680871873268369</x:v>
      </x:c>
      <x:c r="H90" t="n">
        <x:f>COS(D90*$B$8)</x:f>
        <x:v>0.9942795872402704</x:v>
      </x:c>
      <x:c r="I90" t="n">
        <x:f>$B$12*B90*$B$9*E90*G90-3*$B$11*$B$14*C90*F90*G90-3*$B$11*$B$14*D90*H90*E90</x:f>
        <x:v>-883051.1050264197</x:v>
      </x:c>
      <x:c r="J90" t="n">
        <x:f>IF(AND(I89&lt;0,I90&gt;=0),1,0)</x:f>
        <x:v>0</x:v>
      </x:c>
    </x:row>
    <x:row r="91">
      <x:c r="A91" t="n">
        <x:f>A90+1</x:f>
        <x:v>74</x:v>
      </x:c>
      <x:c r="B91" t="n">
        <x:f>10^(9*A91/299)</x:f>
        <x:v>168.82033167003627</x:v>
      </x:c>
      <x:c r="C91" t="n">
        <x:f>SQRT($B$12*B91/($B$10*$B$13))</x:f>
        <x:v>0.00003849172229677837</x:v>
      </x:c>
      <x:c r="D91" t="n">
        <x:f>SQRT($B$12*B91/($B$11*$B$14))</x:f>
        <x:v>0.00011078630926051125</x:v>
      </x:c>
      <x:c r="E91" t="n">
        <x:f>SIN(C91*$B$7)</x:f>
        <x:v>0.030788511523163732</x:v>
      </x:c>
      <x:c r="F91" t="n">
        <x:f>COS(C91*$B$7)</x:f>
        <x:v>0.9995259214038363</x:v>
      </x:c>
      <x:c r="G91" t="n">
        <x:f>SIN(D91*$B$8)</x:f>
        <x:v>0.11055982370401682</x:v>
      </x:c>
      <x:c r="H91" t="n">
        <x:f>COS(D91*$B$8)</x:f>
        <x:v>0.9938694709983483</x:v>
      </x:c>
      <x:c r="I91" t="n">
        <x:f>$B$12*B91*$B$9*E91*G91-3*$B$11*$B$14*C91*F91*G91-3*$B$11*$B$14*D91*H91*E91</x:f>
        <x:v>-946153.3635961956</x:v>
      </x:c>
      <x:c r="J91" t="n">
        <x:f>IF(AND(I90&lt;0,I91&gt;=0),1,0)</x:f>
        <x:v>0</x:v>
      </x:c>
    </x:row>
    <x:row r="92">
      <x:c r="A92" t="n">
        <x:f>A91+1</x:f>
        <x:v>75</x:v>
      </x:c>
      <x:c r="B92" t="n">
        <x:f>10^(9*A92/299)</x:f>
        <x:v>180.93604107387165</x:v>
      </x:c>
      <x:c r="C92" t="n">
        <x:f>SQRT($B$12*B92/($B$10*$B$13))</x:f>
        <x:v>0.00003984900768197402</x:v>
      </x:c>
      <x:c r="D92" t="n">
        <x:f>SQRT($B$12*B92/($B$11*$B$14))</x:f>
        <x:v>0.0001146928281031779</x:v>
      </x:c>
      <x:c r="E92" t="n">
        <x:f>SIN(C92*$B$7)</x:f>
        <x:v>0.03187380669991037</x:v>
      </x:c>
      <x:c r="F92" t="n">
        <x:f>COS(C92*$B$7)</x:f>
        <x:v>0.9994919011410032</x:v>
      </x:c>
      <x:c r="G92" t="n">
        <x:f>SIN(D92*$B$8)</x:f>
        <x:v>0.11444154002483403</x:v>
      </x:c>
      <x:c r="H92" t="n">
        <x:f>COS(D92*$B$8)</x:f>
        <x:v>0.9934299844059189</x:v>
      </x:c>
      <x:c r="I92" t="n">
        <x:f>$B$12*B92*$B$9*E92*G92-3*$B$11*$B$14*C92*F92*G92-3*$B$11*$B$14*D92*H92*E92</x:f>
        <x:v>-1013743.9438463195</x:v>
      </x:c>
      <x:c r="J92" t="n">
        <x:f>IF(AND(I91&lt;0,I92&gt;=0),1,0)</x:f>
        <x:v>0</x:v>
      </x:c>
    </x:row>
    <x:row r="93">
      <x:c r="A93" t="n">
        <x:f>A92+1</x:f>
        <x:v>76</x:v>
      </x:c>
      <x:c r="B93" t="n">
        <x:f>10^(9*A93/299)</x:f>
        <x:v>193.9212572065829</x:v>
      </x:c>
      <x:c r="C93" t="n">
        <x:f>SQRT($B$12*B93/($B$10*$B$13))</x:f>
        <x:v>0.000041254153321451375</x:v>
      </x:c>
      <x:c r="D93" t="n">
        <x:f>SQRT($B$12*B93/($B$11*$B$14))</x:f>
        <x:v>0.00011873709762614042</x:v>
      </x:c>
      <x:c r="E93" t="n">
        <x:f>SIN(C93*$B$7)</x:f>
        <x:v>0.03299733167407614</x:v>
      </x:c>
      <x:c r="F93" t="n">
        <x:f>COS(C93*$B$7)</x:f>
        <x:v>0.999455439778278</x:v>
      </x:c>
      <x:c r="G93" t="n">
        <x:f>SIN(D93*$B$8)</x:f>
        <x:v>0.11845829177337408</x:v>
      </x:c>
      <x:c r="H93" t="n">
        <x:f>COS(D93*$B$8)</x:f>
        <x:v>0.9929590289181796</x:v>
      </x:c>
      <x:c r="I93" t="n">
        <x:f>$B$12*B93*$B$9*E93*G93-3*$B$11*$B$14*C93*F93*G93-3*$B$11*$B$14*D93*H93*E93</x:f>
        <x:v>-1086138.9729668945</x:v>
      </x:c>
      <x:c r="J93" t="n">
        <x:f>IF(AND(I92&lt;0,I93&gt;=0),1,0)</x:f>
        <x:v>0</x:v>
      </x:c>
    </x:row>
    <x:row r="94">
      <x:c r="A94" t="n">
        <x:f>A93+1</x:f>
        <x:v>77</x:v>
      </x:c>
      <x:c r="B94" t="n">
        <x:f>10^(9*A94/299)</x:f>
        <x:v>207.83838185797572</x:v>
      </x:c>
      <x:c r="C94" t="n">
        <x:f>SQRT($B$12*B94/($B$10*$B$13))</x:f>
        <x:v>0.00004270884685140321</x:v>
      </x:c>
      <x:c r="D94" t="n">
        <x:f>SQRT($B$12*B94/($B$11*$B$14))</x:f>
        <x:v>0.00012292397515907942</x:v>
      </x:c>
      <x:c r="E94" t="n">
        <x:f>SIN(C94*$B$7)</x:f>
        <x:v>0.03416043015635407</x:v>
      </x:c>
      <x:c r="F94" t="n">
        <x:f>COS(C94*$B$7)</x:f>
        <x:v>0.9994163621892194</x:v>
      </x:c>
      <x:c r="G94" t="n">
        <x:f>SIN(D94*$B$8)</x:f>
        <x:v>0.12261463919413687</x:v>
      </x:c>
      <x:c r="H94" t="n">
        <x:f>COS(D94*$B$8)</x:f>
        <x:v>0.992454356761706</x:v>
      </x:c>
      <x:c r="I94" t="n">
        <x:f>$B$12*B94*$B$9*E94*G94-3*$B$11*$B$14*C94*F94*G94-3*$B$11*$B$14*D94*H94*E94</x:f>
        <x:v>-1163676.3781506151</x:v>
      </x:c>
      <x:c r="J94" t="n">
        <x:f>IF(AND(I93&lt;0,I94&gt;=0),1,0)</x:f>
        <x:v>0</x:v>
      </x:c>
    </x:row>
    <x:row r="95">
      <x:c r="A95" t="n">
        <x:f>A94+1</x:f>
        <x:v>78</x:v>
      </x:c>
      <x:c r="B95" t="n">
        <x:f>10^(9*A95/299)</x:f>
        <x:v>222.75429519995586</x:v>
      </x:c>
      <x:c r="C95" t="n">
        <x:f>SQRT($B$12*B95/($B$10*$B$13))</x:f>
        <x:v>0.000044214835417023205</x:v>
      </x:c>
      <x:c r="D95" t="n">
        <x:f>SQRT($B$12*B95/($B$11*$B$14))</x:f>
        <x:v>0.00012725848930960718</x:v>
      </x:c>
      <x:c r="E95" t="n">
        <x:f>SIN(C95*$B$7)</x:f>
        <x:v>0.03536449276377354</x:v>
      </x:c>
      <x:c r="F95" t="n">
        <x:f>COS(C95*$B$7)</x:f>
        <x:v>0.999374480688576</x:v>
      </x:c>
      <x:c r="G95" t="n">
        <x:f>SIN(D95*$B$8)</x:f>
        <x:v>0.12691528133597438</x:v>
      </x:c>
      <x:c r="H95" t="n">
        <x:f>COS(D95*$B$8)</x:f>
        <x:v>0.9919135604292395</x:v>
      </x:c>
      <x:c r="I95" t="n">
        <x:f>$B$12*B95*$B$9*E95*G95-3*$B$11*$B$14*C95*F95*G95-3*$B$11*$B$14*D95*H95*E95</x:f>
        <x:v>-1246717.319740125</x:v>
      </x:c>
      <x:c r="J95" t="n">
        <x:f>IF(AND(I94&lt;0,I95&gt;=0),1,0)</x:f>
        <x:v>0</x:v>
      </x:c>
    </x:row>
    <x:row r="96">
      <x:c r="A96" t="n">
        <x:f>A95+1</x:f>
        <x:v>79</x:v>
      </x:c>
      <x:c r="B96" t="n">
        <x:f>10^(9*A96/299)</x:f>
        <x:v>238.7406771860647</x:v>
      </x:c>
      <x:c r="C96" t="n">
        <x:f>SQRT($B$12*B96/($B$10*$B$13))</x:f>
        <x:v>0.00004577392777089739</x:v>
      </x:c>
      <x:c r="D96" t="n">
        <x:f>SQRT($B$12*B96/($B$11*$B$14))</x:f>
        <x:v>0.0001317458460028269</x:v>
      </x:c>
      <x:c r="E96" t="n">
        <x:f>SIN(C96*$B$7)</x:f>
        <x:v>0.03661095862165086</x:v>
      </x:c>
      <x:c r="F96" t="n">
        <x:f>COS(C96*$B$7)</x:f>
        <x:v>0.9993295941323882</x:v>
      </x:c>
      <x:c r="G96" t="n">
        <x:f>SIN(D96*$B$8)</x:f>
        <x:v>0.1313650585480182</x:v>
      </x:c>
      <x:c r="H96" t="n">
        <x:f>COS(D96*$B$8)</x:f>
        <x:v>0.9913340614508692</x:v>
      </x:c>
      <x:c r="I96" t="n">
        <x:f>$B$12*B96*$B$9*E96*G96-3*$B$11*$B$14*C96*F96*G96-3*$B$11*$B$14*D96*H96*E96</x:f>
        <x:v>-1335647.7078291036</x:v>
      </x:c>
      <x:c r="J96" t="n">
        <x:f>IF(AND(I95&lt;0,I96&gt;=0),1,0)</x:f>
        <x:v>0</x:v>
      </x:c>
    </x:row>
    <x:row r="97">
      <x:c r="A97" t="n">
        <x:f>A96+1</x:f>
        <x:v>80</x:v>
      </x:c>
      <x:c r="B97" t="n">
        <x:f>10^(9*A97/299)</x:f>
        <x:v>255.87435201685892</x:v>
      </x:c>
      <x:c r="C97" t="n">
        <x:f>SQRT($B$12*B97/($B$10*$B$13))</x:f>
        <x:v>0.00004738799644538848</x:v>
      </x:c>
      <x:c r="D97" t="n">
        <x:f>SQRT($B$12*B97/($B$11*$B$14))</x:f>
        <x:v>0.0001363914347338575</x:v>
      </x:c>
      <x:c r="E97" t="n">
        <x:f>SIN(C97*$B$7)</x:f>
        <x:v>0.03790131701632838</x:v>
      </x:c>
      <x:c r="F97" t="n">
        <x:f>COS(C97*$B$7)</x:f>
        <x:v>0.999281486953715</x:v>
      </x:c>
      <x:c r="G97" t="n">
        <x:f>SIN(D97*$B$8)</x:f>
        <x:v>0.13596895480300838</x:v>
      </x:c>
      <x:c r="H97" t="n">
        <x:f>COS(D97*$B$8)</x:f>
        <x:v>0.9907130983941705</x:v>
      </x:c>
      <x:c r="I97" t="n">
        <x:f>$B$12*B97*$B$9*E97*G97-3*$B$11*$B$14*C97*F97*G97-3*$B$11*$B$14*D97*H97*E97</x:f>
        <x:v>-1430879.8054528923</x:v>
      </x:c>
      <x:c r="J97" t="n">
        <x:f>IF(AND(I96&lt;0,I97&gt;=0),1,0)</x:f>
        <x:v>0</x:v>
      </x:c>
    </x:row>
    <x:row r="98">
      <x:c r="A98" t="n">
        <x:f>A97+1</x:f>
        <x:v>81</x:v>
      </x:c>
      <x:c r="B98" t="n">
        <x:f>10^(9*A98/299)</x:f>
        <x:v>274.23765732649497</x:v>
      </x:c>
      <x:c r="C98" t="n">
        <x:f>SQRT($B$12*B98/($B$10*$B$13))</x:f>
        <x:v>0.000049058980001622106</x:v>
      </x:c>
      <x:c r="D98" t="n">
        <x:f>SQRT($B$12*B98/($B$11*$B$14))</x:f>
        <x:v>0.00014120083504083264</x:v>
      </x:c>
      <x:c r="E98" t="n">
        <x:f>SIN(C98*$B$7)</x:f>
        <x:v>0.03923710909986962</x:v>
      </x:c>
      <x:c r="F98" t="n">
        <x:f>COS(C98*$B$7)</x:f>
        <x:v>0.9992299281293995</x:v>
      </x:c>
      <x:c r="G98" t="n">
        <x:f>SIN(D98*$B$8)</x:f>
        <x:v>0.14073209981379553</x:v>
      </x:c>
      <x:c r="H98" t="n">
        <x:f>COS(D98*$B$8)</x:f>
        <x:v>0.9900477140431162</x:v>
      </x:c>
      <x:c r="I98" t="n">
        <x:f>$B$12*B98*$B$9*E98*G98-3*$B$11*$B$14*C98*F98*G98-3*$B$11*$B$14*D98*H98*E98</x:f>
        <x:v>-1532853.9213123852</x:v>
      </x:c>
      <x:c r="J98" t="n">
        <x:f>IF(AND(I97&lt;0,I98&gt;=0),1,0)</x:f>
        <x:v>0</x:v>
      </x:c>
    </x:row>
    <x:row r="99">
      <x:c r="A99" t="n">
        <x:f>A98+1</x:f>
        <x:v>82</x:v>
      </x:c>
      <x:c r="B99" t="n">
        <x:f>10^(9*A99/299)</x:f>
        <x:v>293.9188398646887</x:v>
      </x:c>
      <x:c r="C99" t="n">
        <x:f>SQRT($B$12*B99/($B$10*$B$13))</x:f>
        <x:v>0.00005078888535777657</x:v>
      </x:c>
      <x:c r="D99" t="n">
        <x:f>SQRT($B$12*B99/($B$11*$B$14))</x:f>
        <x:v>0.00014617982320615003</x:v>
      </x:c>
      <x:c r="E99" t="n">
        <x:f>SIN(C99*$B$7)</x:f>
        <x:v>0.04061992964785072</x:v>
      </x:c>
      <x:c r="F99" t="n">
        <x:f>COS(C99*$B$7)</x:f>
        <x:v>0.9991746700729576</x:v>
      </x:c>
      <x:c r="G99" t="n">
        <x:f>SIN(D99*$B$8)</x:f>
        <x:v>0.14565977090457738</x:v>
      </x:c>
      <x:c r="H99" t="n">
        <x:f>COS(D99*$B$8)</x:f>
        <x:v>0.9893347417027394</x:v>
      </x:c>
      <x:c r="I99" t="n">
        <x:f>$B$12*B99*$B$9*E99*G99-3*$B$11*$B$14*C99*F99*G99-3*$B$11*$B$14*D99*H99*E99</x:f>
        <x:v>-1642040.194708694</x:v>
      </x:c>
      <x:c r="J99" t="n">
        <x:f>IF(AND(I98&lt;0,I99&gt;=0),1,0)</x:f>
        <x:v>0</x:v>
      </x:c>
    </x:row>
    <x:row r="100">
      <x:c r="A100" t="n">
        <x:f>A99+1</x:f>
        <x:v>83</x:v>
      </x:c>
      <x:c r="B100" t="n">
        <x:f>10^(9*A100/299)</x:f>
        <x:v>315.0124795755328</x:v>
      </x:c>
      <x:c r="C100" t="n">
        <x:f>SQRT($B$12*B100/($B$10*$B$13))</x:f>
        <x:v>0.00005257979019947173</x:v>
      </x:c>
      <x:c r="D100" t="n">
        <x:f>SQRT($B$12*B100/($B$11*$B$14))</x:f>
        <x:v>0.00015133437919401742</x:v>
      </x:c>
      <x:c r="E100" t="n">
        <x:f>SIN(C100*$B$7)</x:f>
        <x:v>0.04205142887135252</x:v>
      </x:c>
      <x:c r="F100" t="n">
        <x:f>COS(C100*$B$7)</x:f>
        <x:v>0.9991154474483305</x:v>
      </x:c>
      <x:c r="G100" t="n">
        <x:f>SIN(D100*$B$8)</x:f>
        <x:v>0.15075739459375162</x:v>
      </x:c>
      <x:c r="H100" t="n">
        <x:f>COS(D100*$B$8)</x:f>
        <x:v>0.9885707905735956</x:v>
      </x:c>
      <x:c r="I100" t="n">
        <x:f>$B$12*B100*$B$9*E100*G100-3*$B$11*$B$14*C100*F100*G100-3*$B$11*$B$14*D100*H100*E100</x:f>
        <x:v>-1758940.4750116873</x:v>
      </x:c>
      <x:c r="J100" t="n">
        <x:f>IF(AND(I99&lt;0,I100&gt;=0),1,0)</x:f>
        <x:v>0</x:v>
      </x:c>
    </x:row>
    <x:row r="101">
      <x:c r="A101" t="n">
        <x:f>A100+1</x:f>
        <x:v>84</x:v>
      </x:c>
      <x:c r="B101" t="n">
        <x:f>10^(9*A101/299)</x:f>
        <x:v>337.61994411113403</x:v>
      </x:c>
      <x:c r="C101" t="n">
        <x:f>SQRT($B$12*B101/($B$10*$B$13))</x:f>
        <x:v>0.00005443384547515289</x:v>
      </x:c>
      <x:c r="D101" t="n">
        <x:f>SQRT($B$12*B101/($B$11*$B$14))</x:f>
        <x:v>0.00015667069383262967</x:v>
      </x:c>
      <x:c r="E101" t="n">
        <x:f>SIN(C101*$B$7)</x:f>
        <x:v>0.043533314284213614</x:v>
      </x:c>
      <x:c r="F101" t="n">
        <x:f>COS(C101*$B$7)</x:f>
        <x:v>0.9990519758988677</x:v>
      </x:c>
      <x:c r="G101" t="n">
        <x:f>SIN(D101*$B$8)</x:f>
        <x:v>0.15603054784008408</x:v>
      </x:c>
      <x:c r="H101" t="n">
        <x:f>COS(D101*$B$8)</x:f>
        <x:v>0.9877522301370538</x:v>
      </x:c>
      <x:c r="I101" t="n">
        <x:f>$B$12*B101*$B$9*E101*G101-3*$B$11*$B$14*C101*F101*G101-3*$B$11*$B$14*D101*H101*E101</x:f>
        <x:v>-1884090.2975270336</x:v>
      </x:c>
      <x:c r="J101" t="n">
        <x:f>IF(AND(I100&lt;0,I101&gt;=0),1,0)</x:f>
        <x:v>0</x:v>
      </x:c>
    </x:row>
    <x:row r="102">
      <x:c r="A102" t="n">
        <x:f>A101+1</x:f>
        <x:v>85</x:v>
      </x:c>
      <x:c r="B102" t="n">
        <x:f>10^(9*A102/299)</x:f>
        <x:v>361.84987596427464</x:v>
      </x:c>
      <x:c r="C102" t="n">
        <x:f>SQRT($B$12*B102/($B$10*$B$13))</x:f>
        <x:v>0.000056353277979465795</x:v>
      </x:c>
      <x:c r="D102" t="n">
        <x:f>SQRT($B$12*B102/($B$11*$B$14))</x:f>
        <x:v>0.00016219517624960076</x:v>
      </x:c>
      <x:c r="E102" t="n">
        <x:f>SIN(C102*$B$7)</x:f>
        <x:v>0.04506735262654797</x:v>
      </x:c>
      <x:c r="F102" t="n">
        <x:f>COS(C102*$B$7)</x:f>
        <x:v>0.9989839506855125</x:v>
      </x:c>
      <x:c r="G102" t="n">
        <x:f>SIN(D102*$B$8)</x:f>
        <x:v>0.16148495889813558</x:v>
      </x:c>
      <x:c r="H102" t="n">
        <x:f>COS(D102*$B$8)</x:f>
        <x:v>0.9868751734893666</x:v>
      </x:c>
      <x:c r="I102" t="n">
        <x:f>$B$12*B102*$B$9*E102*G102-3*$B$11*$B$14*C102*F102*G102-3*$B$11*$B$14*D102*H102*E102</x:f>
        <x:v>-2018060.9570449283</x:v>
      </x:c>
      <x:c r="J102" t="n">
        <x:f>IF(AND(I101&lt;0,I102&gt;=0),1,0)</x:f>
        <x:v>0</x:v>
      </x:c>
    </x:row>
    <x:row r="103">
      <x:c r="A103" t="n">
        <x:f>A102+1</x:f>
        <x:v>86</x:v>
      </x:c>
      <x:c r="B103" t="n">
        <x:f>10^(9*A103/299)</x:f>
        <x:v>387.81871456107234</x:v>
      </x:c>
      <x:c r="C103" t="n">
        <x:f>SQRT($B$12*B103/($B$10*$B$13))</x:f>
        <x:v>0.00005834039302772639</x:v>
      </x:c>
      <x:c r="D103" t="n">
        <x:f>SQRT($B$12*B103/($B$11*$B$14))</x:f>
        <x:v>0.00016791446156958346</x:v>
      </x:c>
      <x:c r="E103" t="n">
        <x:f>SIN(C103*$B$7)</x:f>
        <x:v>0.04665537184546386</x:v>
      </x:c>
      <x:c r="F103" t="n">
        <x:f>COS(C103*$B$7)</x:f>
        <x:v>0.9989110452277328</x:v>
      </x:c>
      <x:c r="G103" t="n">
        <x:f>SIN(D103*$B$8)</x:f>
        <x:v>0.16712650772252197</x:v>
      </x:c>
      <x:c r="H103" t="n">
        <x:f>COS(D103*$B$8)</x:f>
        <x:v>0.9859354595593334</x:v>
      </x:c>
      <x:c r="I103" t="n">
        <x:f>$B$12*B103*$B$9*E103*G103-3*$B$11*$B$14*C103*F103*G103-3*$B$11*$B$14*D103*H103*E103</x:f>
        <x:v>-2161461.67962806</x:v>
      </x:c>
      <x:c r="J103" t="n">
        <x:f>IF(AND(I102&lt;0,I103&gt;=0),1,0)</x:f>
        <x:v>0</x:v>
      </x:c>
    </x:row>
    <x:row r="104">
      <x:c r="A104" t="n">
        <x:f>A103+1</x:f>
        <x:v>87</x:v>
      </x:c>
      <x:c r="B104" t="n">
        <x:f>10^(9*A104/299)</x:f>
        <x:v>415.6512558225988</x:v>
      </x:c>
      <x:c r="C104" t="n">
        <x:f>SQRT($B$12*B104/($B$10*$B$13))</x:f>
        <x:v>0.00006039757722469669</x:v>
      </x:c>
      <x:c r="D104" t="n">
        <x:f>SQRT($B$12*B104/($B$11*$B$14))</x:f>
        <x:v>0.000173835418883319</x:v>
      </x:c>
      <x:c r="E104" t="n">
        <x:f>SIN(C104*$B$7)</x:f>
        <x:v>0.04829926313383839</x:v>
      </x:c>
      <x:c r="F104" t="n">
        <x:f>COS(C104*$B$7)</x:f>
        <x:v>0.9988329095402936</x:v>
      </x:c>
      <x:c r="G104" t="n">
        <x:f>SIN(D104*$B$8)</x:f>
        <x:v>0.1729612258535198</x:v>
      </x:c>
      <x:c r="H104" t="n">
        <x:f>COS(D104*$B$8)</x:f>
        <x:v>0.9849286341411989</x:v>
      </x:c>
      <x:c r="I104" t="n">
        <x:f>$B$12*B104*$B$9*E104*G104-3*$B$11*$B$14*C104*F104*G104-3*$B$11*$B$14*D104*H104*E104</x:f>
        <x:v>-2314941.8923015376</x:v>
      </x:c>
      <x:c r="J104" t="n">
        <x:f>IF(AND(I103&lt;0,I104&gt;=0),1,0)</x:f>
        <x:v>0</x:v>
      </x:c>
    </x:row>
    <x:row r="105">
      <x:c r="A105" t="n">
        <x:f>A104+1</x:f>
        <x:v>88</x:v>
      </x:c>
      <x:c r="B105" t="n">
        <x:f>10^(9*A105/299)</x:f>
        <x:v>445.4812518844989</x:v>
      </x:c>
      <x:c r="C105" t="n">
        <x:f>SQRT($B$12*B105/($B$10*$B$13))</x:f>
        <x:v>0.00006252730133099285</x:v>
      </x:c>
      <x:c r="D105" t="n">
        <x:f>SQRT($B$12*B105/($B$11*$B$14))</x:f>
        <x:v>0.00017996515949769104</x:v>
      </x:c>
      <x:c r="E105" t="n">
        <x:f>SIN(C105*$B$7)</x:f>
        <x:v>0.05000098302790635</x:v>
      </x:c>
      <x:c r="F105" t="n">
        <x:f>COS(C105*$B$7)</x:f>
        <x:v>0.998749168558474</x:v>
      </x:c>
      <x:c r="G105" t="n">
        <x:f>SIN(D105*$B$8)</x:f>
        <x:v>0.1789952957087224</x:v>
      </x:c>
      <x:c r="H105" t="n">
        <x:f>COS(D105*$B$8)</x:f>
        <x:v>0.983849929671262</x:v>
      </x:c>
      <x:c r="I105" t="n">
        <x:f>$B$12*B105*$B$9*E105*G105-3*$B$11*$B$14*C105*F105*G105-3*$B$11*$B$14*D105*H105*E105</x:f>
        <x:v>-2479193.5892153317</x:v>
      </x:c>
      <x:c r="J105" t="n">
        <x:f>IF(AND(I104&lt;0,I105&gt;=0),1,0)</x:f>
        <x:v>0</x:v>
      </x:c>
    </x:row>
    <x:row r="106">
      <x:c r="A106" t="n">
        <x:f>A105+1</x:f>
        <x:v>89</x:v>
      </x:c>
      <x:c r="B106" t="n">
        <x:f>10^(9*A106/299)</x:f>
        <x:v>477.45205385661313</x:v>
      </x:c>
      <x:c r="C106" t="n">
        <x:f>SQRT($B$12*B106/($B$10*$B$13))</x:f>
        <x:v>0.00006473212323056745</x:v>
      </x:c>
      <x:c r="D106" t="n">
        <x:f>SQRT($B$12*B106/($B$11*$B$14))</x:f>
        <x:v>0.00018631104547668927</x:v>
      </x:c>
      <x:c r="E106" t="n">
        <x:f>SIN(C106*$B$7)</x:f>
        <x:v>0.05176255556430651</x:v>
      </x:c>
      <x:c r="F106" t="n">
        <x:f>COS(C106*$B$7)</x:f>
        <x:v>0.9986594203438187</x:v>
      </x:c>
      <x:c r="G106" t="n">
        <x:f>SIN(D106*$B$8)</x:f>
        <x:v>0.18523504919680364</x:v>
      </x:c>
      <x:c r="H106" t="n">
        <x:f>COS(D106*$B$8)</x:f>
        <x:v>0.982694243673513</x:v>
      </x:c>
      <x:c r="I106" t="n">
        <x:f>$B$12*B106*$B$9*E106*G106-3*$B$11*$B$14*C106*F106*G106-3*$B$11*$B$14*D106*H106*E106</x:f>
        <x:v>-2654953.7915271074</x:v>
      </x:c>
      <x:c r="J106" t="n">
        <x:f>IF(AND(I105&lt;0,I106&gt;=0),1,0)</x:f>
        <x:v>0</x:v>
      </x:c>
    </x:row>
    <x:row r="107">
      <x:c r="A107" t="n">
        <x:f>A106+1</x:f>
        <x:v>90</x:v>
      </x:c>
      <x:c r="B107" t="n">
        <x:f>10^(9*A107/299)</x:f>
        <x:v>511.7173007114605</x:v>
      </x:c>
      <x:c r="C107" t="n">
        <x:f>SQRT($B$12*B107/($B$10*$B$13))</x:f>
        <x:v>0.00006701469100283064</x:v>
      </x:c>
      <x:c r="D107" t="n">
        <x:f>SQRT($B$12*B107/($B$11*$B$14))</x:f>
        <x:v>0.00019288069848354348</x:v>
      </x:c>
      <x:c r="E107" t="n">
        <x:f>SIN(C107*$B$7)</x:f>
        <x:v>0.053586074497096445</x:v>
      </x:c>
      <x:c r="F107" t="n">
        <x:f>COS(C107*$B$7)</x:f>
        <x:v>0.9985632341619591</x:v>
      </x:c>
      <x:c r="G107" t="n">
        <x:f>SIN(D107*$B$8)</x:f>
        <x:v>0.19168696555989911</x:v>
      </x:c>
      <x:c r="H107" t="n">
        <x:f>COS(D107*$B$8)</x:f>
        <x:v>0.9814561157965435</x:v>
      </x:c>
      <x:c r="I107" t="n">
        <x:f>$B$12*B107*$B$9*E107*G107-3*$B$11*$B$14*C107*F107*G107-3*$B$11*$B$14*D107*H107*E107</x:f>
        <x:v>-2843007.096663233</x:v>
      </x:c>
      <x:c r="J107" t="n">
        <x:f>IF(AND(I106&lt;0,I107&gt;=0),1,0)</x:f>
        <x:v>0</x:v>
      </x:c>
    </x:row>
    <x:row r="108">
      <x:c r="A108" t="n">
        <x:f>A107+1</x:f>
        <x:v>91</x:v>
      </x:c>
      <x:c r="B108" t="n">
        <x:f>10^(9*A108/299)</x:f>
        <x:v>548.4416576121021</x:v>
      </x:c>
      <x:c r="C108" t="n">
        <x:f>SQRT($B$12*B108/($B$10*$B$13))</x:f>
        <x:v>0.00006937774610309975</x:v>
      </x:c>
      <x:c r="D108" t="n">
        <x:f>SQRT($B$12*B108/($B$11*$B$14))</x:f>
        <x:v>0.0001996820089346467</x:v>
      </x:c>
      <x:c r="E108" t="n">
        <x:f>SIN(C108*$B$7)</x:f>
        <x:v>0.05547370557509118</x:v>
      </x:c>
      <x:c r="F108" t="n">
        <x:f>COS(C108*$B$7)</x:f>
        <x:v>0.9984601484234451</x:v>
      </x:c>
      <x:c r="G108" t="n">
        <x:f>SIN(D108*$B$8)</x:f>
        <x:v>0.19835766834055443</x:v>
      </x:c>
      <x:c r="H108" t="n">
        <x:f>COS(D108*$B$8)</x:f>
        <x:v>0.9801297033609881</x:v>
      </x:c>
      <x:c r="I108" t="n">
        <x:f>$B$12*B108*$B$9*E108*G108-3*$B$11*$B$14*C108*F108*G108-3*$B$11*$B$14*D108*H108*E108</x:f>
        <x:v>-3044188.310714692</x:v>
      </x:c>
      <x:c r="J108" t="n">
        <x:f>IF(AND(I107&lt;0,I108&gt;=0),1,0)</x:f>
        <x:v>0</x:v>
      </x:c>
    </x:row>
    <x:row r="109">
      <x:c r="A109" t="n">
        <x:f>A108+1</x:f>
        <x:v>92</x:v>
      </x:c>
      <x:c r="B109" t="n">
        <x:f>10^(9*A109/299)</x:f>
        <x:v>587.8016072274912</x:v>
      </x:c>
      <x:c r="C109" t="n">
        <x:f>SQRT($B$12*B109/($B$10*$B$13))</x:f>
        <x:v>0.00007182412665519657</x:v>
      </x:c>
      <x:c r="D109" t="n">
        <x:f>SQRT($B$12*B109/($B$11*$B$14))</x:f>
        <x:v>0.0002067231454762605</x:v>
      </x:c>
      <x:c r="E109" t="n">
        <x:f>SIN(C109*$B$7)</x:f>
        <x:v>0.05742768887970092</x:v>
      </x:c>
      <x:c r="F109" t="n">
        <x:f>COS(C109*$B$7)</x:f>
        <x:v>0.9983496684779017</x:v>
      </x:c>
      <x:c r="G109" t="n">
        <x:f>SIN(D109*$B$8)</x:f>
        <x:v>0.20525392135753737</x:v>
      </x:c>
      <x:c r="H109" t="n">
        <x:f>COS(D109*$B$8)</x:f>
        <x:v>0.9787087553339624</x:v>
      </x:c>
      <x:c r="I109" t="n">
        <x:f>$B$12*B109*$B$9*E109*G109-3*$B$11*$B$14*C109*F109*G109-3*$B$11*$B$14*D109*H109*E109</x:f>
        <x:v>-3259385.155463864</x:v>
      </x:c>
      <x:c r="J109" t="n">
        <x:f>IF(AND(I108&lt;0,I109&gt;=0),1,0)</x:f>
        <x:v>0</x:v>
      </x:c>
    </x:row>
    <x:row r="110">
      <x:c r="A110" t="n">
        <x:f>A109+1</x:f>
        <x:v>93</x:v>
      </x:c>
      <x:c r="B110" t="n">
        <x:f>10^(9*A110/299)</x:f>
        <x:v>629.9862978380693</x:v>
      </x:c>
      <x:c r="C110" t="n">
        <x:f>SQRT($B$12*B110/($B$10*$B$13))</x:f>
        <x:v>0.00007435677086014808</x:v>
      </x:c>
      <x:c r="D110" t="n">
        <x:f>SQRT($B$12*B110/($B$11*$B$14))</x:f>
        <x:v>0.00021401256479538735</x:v>
      </x:c>
      <x:c r="E110" t="n">
        <x:f>SIN(C110*$B$7)</x:f>
        <x:v>0.059450341223237974</x:v>
      </x:c>
      <x:c r="F110" t="n">
        <x:f>COS(C110*$B$7)</x:f>
        <x:v>0.9982312642511456</x:v>
      </x:c>
      <x:c r="G110" t="n">
        <x:f>SIN(D110*$B$8)</x:f>
        <x:v>0.21238262356195542</x:v>
      </x:c>
      <x:c r="H110" t="n">
        <x:f>COS(D110*$B$8)</x:f>
        <x:v>0.9771865846443762</x:v>
      </x:c>
      <x:c r="I110" t="n">
        <x:f>$B$12*B110*$B$9*E110*G110-3*$B$11*$B$14*C110*F110*G110-3*$B$11*$B$14*D110*H110*E110</x:f>
        <x:v>-3489541.0388616333</x:v>
      </x:c>
      <x:c r="J110" t="n">
        <x:f>IF(AND(I109&lt;0,I110&gt;=0),1,0)</x:f>
        <x:v>0</x:v>
      </x:c>
    </x:row>
    <x:row r="111">
      <x:c r="A111" t="n">
        <x:f>A110+1</x:f>
        <x:v>94</x:v>
      </x:c>
      <x:c r="B111" t="n">
        <x:f>10^(9*A111/299)</x:f>
        <x:v>675.1984523072501</x:v>
      </x:c>
      <x:c r="C111" t="n">
        <x:f>SQRT($B$12*B111/($B$10*$B$13))</x:f>
        <x:v>0.00007697872052508334</x:v>
      </x:c>
      <x:c r="D111" t="n">
        <x:f>SQRT($B$12*B111/($B$11*$B$14))</x:f>
        <x:v>0.00022155902177658932</x:v>
      </x:c>
      <x:c r="E111" t="n">
        <x:f>SIN(C111*$B$7)</x:f>
        <x:v>0.0615440586074239</x:v>
      </x:c>
      <x:c r="F111" t="n">
        <x:f>COS(C111*$B$7)</x:f>
        <x:v>0.9981043677141814</x:v>
      </x:c>
      <x:c r="G111" t="n">
        <x:f>SIN(D111*$B$8)</x:f>
        <x:v>0.21975080263093777</x:v>
      </x:c>
      <x:c r="H111" t="n">
        <x:f>COS(D111*$B$8)</x:f>
        <x:v>0.9755560387507519</x:v>
      </x:c>
      <x:c r="I111" t="n">
        <x:f>$B$12*B111*$B$9*E111*G111-3*$B$11*$B$14*C111*F111*G111-3*$B$11*$B$14*D111*H111*E111</x:f>
        <x:v>-3735657.874617595</x:v>
      </x:c>
      <x:c r="J111" t="n">
        <x:f>IF(AND(I110&lt;0,I111&gt;=0),1,0)</x:f>
        <x:v>0</x:v>
      </x:c>
    </x:row>
    <x:row r="112">
      <x:c r="A112" t="n">
        <x:f>A111+1</x:f>
        <x:v>95</x:v>
      </x:c>
      <x:c r="B112" t="n">
        <x:f>10^(9*A112/299)</x:f>
        <x:v>723.6553422869657</x:v>
      </x:c>
      <x:c r="C112" t="n">
        <x:f>SQRT($B$12*B112/($B$10*$B$13))</x:f>
        <x:v>0.00007969312471656585</x:v>
      </x:c>
      <x:c r="D112" t="n">
        <x:f>SQRT($B$12*B112/($B$11*$B$14))</x:f>
        <x:v>0.00022937158001695615</x:v>
      </x:c>
      <x:c r="E112" t="n">
        <x:f>SIN(C112*$B$7)</x:f>
        <x:v>0.0637113187415585</x:v>
      </x:c>
      <x:c r="F112" t="n">
        <x:f>COS(C112*$B$7)</x:f>
        <x:v>0.9979683701722272</x:v>
      </x:c>
      <x:c r="G112" t="n">
        <x:f>SIN(D112*$B$8)</x:f>
        <x:v>0.22736560714052992</x:v>
      </x:c>
      <x:c r="H112" t="n">
        <x:f>COS(D112*$B$8)</x:f>
        <x:v>0.9738094683713124</x:v>
      </x:c>
      <x:c r="I112" t="n">
        <x:f>$B$12*B112*$B$9*E112*G112-3*$B$11*$B$14*C112*F112*G112-3*$B$11*$B$14*D112*H112*E112</x:f>
        <x:v>-3998798.93285733</x:v>
      </x:c>
      <x:c r="J112" t="n">
        <x:f>IF(AND(I111&lt;0,I112&gt;=0),1,0)</x:f>
        <x:v>0</x:v>
      </x:c>
    </x:row>
    <x:row r="113">
      <x:c r="A113" t="n">
        <x:f>A112+1</x:f>
        <x:v>96</x:v>
      </x:c>
      <x:c r="B113" t="n">
        <x:f>10^(9*A113/299)</x:f>
        <x:v>775.5898323389001</x:v>
      </x:c>
      <x:c r="C113" t="n">
        <x:f>SQRT($B$12*B113/($B$10*$B$13))</x:f>
        <x:v>0.00008250324354274838</x:v>
      </x:c>
      <x:c r="D113" t="n">
        <x:f>SQRT($B$12*B113/($B$11*$B$14))</x:f>
        <x:v>0.00023745962271184745</x:v>
      </x:c>
      <x:c r="E113" t="n">
        <x:f>SIN(C113*$B$7)</x:f>
        <x:v>0.06595468361950149</x:v>
      </x:c>
      <x:c r="F113" t="n">
        <x:f>COS(C113*$B$7)</x:f>
        <x:v>0.9978226193611024</x:v>
      </x:c>
      <x:c r="G113" t="n">
        <x:f>SIN(D113*$B$8)</x:f>
        <x:v>0.23523429714224814</x:v>
      </x:c>
      <x:c r="H113" t="n">
        <x:f>COS(D113*$B$8)</x:f>
        <x:v>0.9719386942847745</x:v>
      </x:c>
      <x:c r="I113" t="n">
        <x:f>$B$12*B113*$B$9*E113*G113-3*$B$11*$B$14*C113*F113*G113-3*$B$11*$B$14*D113*H113*E113</x:f>
        <x:v>-4280091.699456137</x:v>
      </x:c>
      <x:c r="J113" t="n">
        <x:f>IF(AND(I112&lt;0,I113&gt;=0),1,0)</x:f>
        <x:v>0</x:v>
      </x:c>
    </x:row>
    <x:row r="114">
      <x:c r="A114" t="n">
        <x:f>A113+1</x:f>
        <x:v>97</x:v>
      </x:c>
      <x:c r="B114" t="n">
        <x:f>10^(9*A114/299)</x:f>
        <x:v>831.2514989890632</x:v>
      </x:c>
      <x:c r="C114" t="n">
        <x:f>SQRT($B$12*B114/($B$10*$B$13))</x:f>
        <x:v>0.0000854124520688938</x:v>
      </x:c>
      <x:c r="D114" t="n">
        <x:f>SQRT($B$12*B114/($B$11*$B$14))</x:f>
        <x:v>0.00024583286392448704</x:v>
      </x:c>
      <x:c r="E114" t="n">
        <x:f>SIN(C114*$B$7)</x:f>
        <x:v>0.06827680215426778</x:v>
      </x:c>
      <x:c r="F114" t="n">
        <x:f>COS(C114*$B$7)</x:f>
        <x:v>0.9976664163374384</x:v>
      </x:c>
      <x:c r="G114" t="n">
        <x:f>SIN(D114*$B$8)</x:f>
        <x:v>0.2433642329488416</x:v>
      </x:c>
      <x:c r="H114" t="n">
        <x:f>COS(D114*$B$8)</x:f>
        <x:v>0.9699349721095852</x:v>
      </x:c>
      <x:c r="I114" t="n">
        <x:f>$B$12*B114*$B$9*E114*G114-3*$B$11*$B$14*C114*F114*G114-3*$B$11*$B$14*D114*H114*E114</x:f>
        <x:v>-4580730.716585511</x:v>
      </x:c>
      <x:c r="J114" t="n">
        <x:f>IF(AND(I113&lt;0,I114&gt;=0),1,0)</x:f>
        <x:v>0</x:v>
      </x:c>
    </x:row>
    <x:row r="115">
      <x:c r="A115" t="n">
        <x:f>A114+1</x:f>
        <x:v>98</x:v>
      </x:c>
      <x:c r="B115" t="n">
        <x:f>10^(9*A115/299)</x:f>
        <x:v>890.9078300934134</x:v>
      </x:c>
      <x:c r="C115" t="n">
        <x:f>SQRT($B$12*B115/($B$10*$B$13))</x:f>
        <x:v>0.00008842424437096322</x:v>
      </x:c>
      <x:c r="D115" t="n">
        <x:f>SQRT($B$12*B115/($B$11*$B$14))</x:f>
        <x:v>0.00025450136025294094</x:v>
      </x:c>
      <x:c r="E115" t="n">
        <x:f>SIN(C115*$B$7)</x:f>
        <x:v>0.07068041286863626</x:v>
      </x:c>
      <x:c r="F115" t="n">
        <x:f>COS(C115*$B$7)</x:f>
        <x:v>0.9974990121482422</x:v>
      </x:c>
      <x:c r="G115" t="n">
        <x:f>SIN(D115*$B$8)</x:f>
        <x:v>0.25176286191402314</x:v>
      </x:c>
      <x:c r="H115" t="n">
        <x:f>COS(D115*$B$8)</x:f>
        <x:v>0.9677889549694502</x:v>
      </x:c>
      <x:c r="I115" t="n">
        <x:f>$B$12*B115*$B$9*E115*G115-3*$B$11*$B$14*C115*F115*G115-3*$B$11*$B$14*D115*H115*E115</x:f>
        <x:v>-4901980.371099869</x:v>
      </x:c>
      <x:c r="J115" t="n">
        <x:f>IF(AND(I114&lt;0,I115&gt;=0),1,0)</x:f>
        <x:v>0</x:v>
      </x:c>
    </x:row>
    <x:row r="116">
      <x:c r="A116" t="n">
        <x:f>A115+1</x:f>
        <x:v>99</x:v>
      </x:c>
      <x:c r="B116" t="n">
        <x:f>10^(9*A116/299)</x:f>
        <x:v>954.8455102782293</x:v>
      </x:c>
      <x:c r="C116" t="n">
        <x:f>SQRT($B$12*B116/($B$10*$B$13))</x:f>
        <x:v>0.0000915422377321416</x:v>
      </x:c>
      <x:c r="D116" t="n">
        <x:f>SQRT($B$12*B116/($B$11*$B$14))</x:f>
        <x:v>0.0002634755229084956</x:v>
      </x:c>
      <x:c r="E116" t="n">
        <x:f>SIN(C116*$B$7)</x:f>
        <x:v>0.07316834663972287</x:v>
      </x:c>
      <x:c r="F116" t="n">
        <x:f>COS(C116*$B$7)</x:f>
        <x:v>0.9973196042643548</x:v>
      </x:c>
      <x:c r="G116" t="n">
        <x:f>SIN(D116*$B$8)</x:f>
        <x:v>0.2604377029681321</x:v>
      </x:c>
      <x:c r="H116" t="n">
        <x:f>COS(D116*$B$8)</x:f>
        <x:v>0.9654906539540831</x:v>
      </x:c>
      <x:c r="I116" t="n">
        <x:f>$B$12*B116*$B$9*E116*G116-3*$B$11*$B$14*C116*F116*G116-3*$B$11*$B$14*D116*H116*E116</x:f>
        <x:v>-5245177.590527626</x:v>
      </x:c>
      <x:c r="J116" t="n">
        <x:f>IF(AND(I115&lt;0,I116&gt;=0),1,0)</x:f>
        <x:v>0</x:v>
      </x:c>
    </x:row>
    <x:row r="117">
      <x:c r="A117" t="n">
        <x:f>A116+1</x:f>
        <x:v>100</x:v>
      </x:c>
      <x:c r="B117" t="n">
        <x:f>10^(9*A117/299)</x:f>
        <x:v>1023.3717986325203</x:v>
      </x:c>
      <x:c r="C117" t="n">
        <x:f>SQRT($B$12*B117/($B$10*$B$13))</x:f>
        <x:v>0.00009477017698733934</x:v>
      </x:c>
      <x:c r="D117" t="n">
        <x:f>SQRT($B$12*B117/($B$11*$B$14))</x:f>
        <x:v>0.0002727661302199386</x:v>
      </x:c>
      <x:c r="E117" t="n">
        <x:f>SIN(C117*$B$7)</x:f>
        <x:v>0.07574352949495551</x:v>
      </x:c>
      <x:c r="F117" t="n">
        <x:f>COS(C117*$B$7)</x:f>
        <x:v>0.9971273327612912</x:v>
      </x:c>
      <x:c r="G117" t="n">
        <x:f>SIN(D117*$B$8)</x:f>
        <x:v>0.2693963286466738</x:v>
      </x:c>
      <x:c r="H117" t="n">
        <x:f>COS(D117*$B$8)</x:f>
        <x:v>0.9630293962863716</x:v>
      </x:c>
      <x:c r="I117" t="n">
        <x:f>$B$12*B117*$B$9*E117*G117-3*$B$11*$B$14*C117*F117*G117-3*$B$11*$B$14*D117*H117*E117</x:f>
        <x:v>-5611734.398476632</x:v>
      </x:c>
      <x:c r="J117" t="n">
        <x:f>IF(AND(I116&lt;0,I117&gt;=0),1,0)</x:f>
        <x:v>0</x:v>
      </x:c>
    </x:row>
    <x:row r="118">
      <x:c r="A118" t="n">
        <x:f>A117+1</x:f>
        <x:v>101</x:v>
      </x:c>
      <x:c r="B118" t="n">
        <x:f>10^(9*A118/299)</x:f>
        <x:v>1096.816005273138</x:v>
      </x:c>
      <x:c r="C118" t="n">
        <x:f>SQRT($B$12*B118/($B$10*$B$13))</x:f>
        <x:v>0.00009811193902088919</x:v>
      </x:c>
      <x:c r="D118" t="n">
        <x:f>SQRT($B$12*B118/($B$11*$B$14))</x:f>
        <x:v>0.00028238434057876354</x:v>
      </x:c>
      <x:c r="E118" t="n">
        <x:f>SIN(C118*$B$7)</x:f>
        <x:v>0.07840898545631504</x:v>
      </x:c>
      <x:c r="F118" t="n">
        <x:f>COS(C118*$B$7)</x:f>
        <x:v>0.9969212762298292</x:v>
      </x:c>
      <x:c r="G118" t="n">
        <x:f>SIN(D118*$B$8)</x:f>
        <x:v>0.2786463443212965</x:v>
      </x:c>
      <x:c r="H118" t="n">
        <x:f>COS(D118*$B$8)</x:f>
        <x:v>0.9603937811108407</x:v>
      </x:c>
      <x:c r="I118" t="n">
        <x:f>$B$12*B118*$B$9*E118*G118-3*$B$11*$B$14*C118*F118*G118-3*$B$11*$B$14*D118*H118*E118</x:f>
        <x:v>-6003140.272068006</x:v>
      </x:c>
      <x:c r="J118" t="n">
        <x:f>IF(AND(I117&lt;0,I118&gt;=0),1,0)</x:f>
        <x:v>0</x:v>
      </x:c>
    </x:row>
    <x:row r="119">
      <x:c r="A119" t="n">
        <x:f>A118+1</x:f>
        <x:v>102</x:v>
      </x:c>
      <x:c r="B119" t="n">
        <x:f>10^(9*A119/299)</x:f>
        <x:v>1175.5310738783699</x:v>
      </x:c>
      <x:c r="C119" t="n">
        <x:f>SQRT($B$12*B119/($B$10*$B$13))</x:f>
        <x:v>0.00010157153742283974</x:v>
      </x:c>
      <x:c r="D119" t="n">
        <x:f>SQRT($B$12*B119/($B$11*$B$14))</x:f>
        <x:v>0.000292341705840846</x:v>
      </x:c>
      <x:c r="E119" t="n">
        <x:f>SIN(C119*$B$7)</x:f>
        <x:v>0.08116783942905623</x:v>
      </x:c>
      <x:c r="F119" t="n">
        <x:f>COS(C119*$B$7)</x:f>
        <x:v>0.9967004473975212</x:v>
      </x:c>
      <x:c r="G119" t="n">
        <x:f>SIN(D119*$B$8)</x:f>
        <x:v>0.28819536431280024</x:v>
      </x:c>
      <x:c r="H119" t="n">
        <x:f>COS(D119*$B$8)</x:f>
        <x:v>0.957571632823682</x:v>
      </x:c>
      <x:c r="I119" t="n">
        <x:f>$B$12*B119*$B$9*E119*G119-3*$B$11*$B$14*C119*F119*G119-3*$B$11*$B$14*D119*H119*E119</x:f>
        <x:v>-6420964.233403551</x:v>
      </x:c>
      <x:c r="J119" t="n">
        <x:f>IF(AND(I118&lt;0,I119&gt;=0),1,0)</x:f>
        <x:v>0</x:v>
      </x:c>
    </x:row>
    <x:row r="120">
      <x:c r="A120" t="n">
        <x:f>A119+1</x:f>
        <x:v>103</x:v>
      </x:c>
      <x:c r="B120" t="n">
        <x:f>10^(9*A120/299)</x:f>
        <x:v>1259.8952777950271</x:v>
      </x:c>
      <x:c r="C120" t="n">
        <x:f>SQRT($B$12*B120/($B$10*$B$13))</x:f>
        <x:v>0.0001051531273094375</x:v>
      </x:c>
      <x:c r="D120" t="n">
        <x:f>SQRT($B$12*B120/($B$11*$B$14))</x:f>
        <x:v>0.0003026501852006835</x:v>
      </x:c>
      <x:c r="E120" t="n">
        <x:f>SIN(C120*$B$7)</x:f>
        <x:v>0.0840233201303927</x:v>
      </x:c>
      <x:c r="F120" t="n">
        <x:f>COS(C120*$B$7)</x:f>
        <x:v>0.9964637884410379</x:v>
      </x:c>
      <x:c r="G120" t="n">
        <x:f>SIN(D120*$B$8)</x:f>
        <x:v>0.29805098453303813</x:v>
      </x:c>
      <x:c r="H120" t="n">
        <x:f>COS(D120*$B$8)</x:f>
        <x:v>0.9545499518720257</x:v>
      </x:c>
      <x:c r="I120" t="n">
        <x:f>$B$12*B120*$B$9*E120*G120-3*$B$11*$B$14*C120*F120*G120-3*$B$11*$B$14*D120*H120*E120</x:f>
        <x:v>-6866856.594859644</x:v>
      </x:c>
      <x:c r="J120" t="n">
        <x:f>IF(AND(I119&lt;0,I120&gt;=0),1,0)</x:f>
        <x:v>0</x:v>
      </x:c>
    </x:row>
    <x:row r="121">
      <x:c r="A121" t="n">
        <x:f>A120+1</x:f>
        <x:v>104</x:v>
      </x:c>
      <x:c r="B121" t="n">
        <x:f>10^(9*A121/299)</x:f>
        <x:v>1350.3140378698736</x:v>
      </x:c>
      <x:c r="C121" t="n">
        <x:f>SQRT($B$12*B121/($B$10*$B$13))</x:f>
        <x:v>0.0001088610103135883</x:v>
      </x:c>
      <x:c r="D121" t="n">
        <x:f>SQRT($B$12*B121/($B$11*$B$14))</x:f>
        <x:v>0.0003133221595548689</x:v>
      </x:c>
      <x:c r="E121" t="n">
        <x:f>SIN(C121*$B$7)</x:f>
        <x:v>0.0869787630528118</x:v>
      </x:c>
      <x:c r="F121" t="n">
        <x:f>COS(C121*$B$7)</x:f>
        <x:v>0.996210165967906</x:v>
      </x:c>
      <x:c r="G121" t="n">
        <x:f>SIN(D121*$B$8)</x:f>
        <x:v>0.30822075126687637</x:v>
      </x:c>
      <x:c r="H121" t="n">
        <x:f>COS(D121*$B$8)</x:f>
        <x:v>0.9513148629599363</x:v>
      </x:c>
      <x:c r="I121" t="n">
        <x:f>$B$12*B121*$B$9*E121*G121-3*$B$11*$B$14*C121*F121*G121-3*$B$11*$B$14*D121*H121*E121</x:f>
        <x:v>-7342550.263972823</x:v>
      </x:c>
      <x:c r="J121" t="n">
        <x:f>IF(AND(I120&lt;0,I121&gt;=0),1,0)</x:f>
        <x:v>0</x:v>
      </x:c>
    </x:row>
    <x:row r="122">
      <x:c r="A122" t="n">
        <x:f>A121+1</x:f>
        <x:v>105</x:v>
      </x:c>
      <x:c r="B122" t="n">
        <x:f>10^(9*A122/299)</x:f>
        <x:v>1447.2218707411344</x:v>
      </x:c>
      <x:c r="C122" t="n">
        <x:f>SQRT($B$12*B122/($B$10*$B$13))</x:f>
        <x:v>0.00011269963975129029</x:v>
      </x:c>
      <x:c r="D122" t="n">
        <x:f>SQRT($B$12*B122/($B$11*$B$14))</x:f>
        <x:v>0.0003243704463720412</x:v>
      </x:c>
      <x:c r="E122" t="n">
        <x:f>SIN(C122*$B$7)</x:f>
        <x:v>0.09003761345576243</x:v>
      </x:c>
      <x:c r="F122" t="n">
        <x:f>COS(C122*$B$7)</x:f>
        <x:v>0.9959383656447776</x:v>
      </x:c>
      <x:c r="G122" t="n">
        <x:f>SIN(D122*$B$8)</x:f>
        <x:v>0.31871212566649365</x:v>
      </x:c>
      <x:c r="H122" t="n">
        <x:f>COS(D122*$B$8)</x:f>
        <x:v>0.9478515606112305</x:v>
      </x:c>
      <x:c r="I122" t="n">
        <x:f>$B$12*B122*$B$9*E122*G122-3*$B$11*$B$14*C122*F122*G122-3*$B$11*$B$14*D122*H122*E122</x:f>
        <x:v>-7849861.497602071</x:v>
      </x:c>
      <x:c r="J122" t="n">
        <x:f>IF(AND(I121&lt;0,I122&gt;=0),1,0)</x:f>
        <x:v>0</x:v>
      </x:c>
    </x:row>
    <x:row r="123">
      <x:c r="A123" t="n">
        <x:f>A122+1</x:f>
        <x:v>106</x:v>
      </x:c>
      <x:c r="B123" t="n">
        <x:f>10^(9*A123/299)</x:f>
        <x:v>1551.0844769528405</x:v>
      </x:c>
      <x:c r="C123" t="n">
        <x:f>SQRT($B$12*B123/($B$10*$B$13))</x:f>
        <x:v>0.0001166736259702453</x:v>
      </x:c>
      <x:c r="D123" t="n">
        <x:f>SQRT($B$12*B123/($B$11*$B$14))</x:f>
        <x:v>0.00033580831508718073</x:v>
      </x:c>
      <x:c r="E123" t="n">
        <x:f>SIN(C123*$B$7)</x:f>
        <x:v>0.09320342937843029</x:v>
      </x:c>
      <x:c r="F123" t="n">
        <x:f>COS(C123*$B$7)</x:f>
        <x:v>0.9956470864478537</x:v>
      </x:c>
      <x:c r="G123" t="n">
        <x:f>SIN(D123*$B$8)</x:f>
        <x:v>0.3295324434880498</x:v>
      </x:c>
      <x:c r="H123" t="n">
        <x:f>COS(D123*$B$8)</x:f>
        <x:v>0.9441442520551588</x:v>
      </x:c>
      <x:c r="I123" t="n">
        <x:f>$B$12*B123*$B$9*E123*G123-3*$B$11*$B$14*C123*F123*G123-3*$B$11*$B$14*D123*H123*E123</x:f>
        <x:v>-8390689.976660378</x:v>
      </x:c>
      <x:c r="J123" t="n">
        <x:f>IF(AND(I122&lt;0,I123&gt;=0),1,0)</x:f>
        <x:v>0</x:v>
      </x:c>
    </x:row>
    <x:row r="124">
      <x:c r="A124" t="n">
        <x:f>A123+1</x:f>
        <x:v>107</x:v>
      </x:c>
      <x:c r="B124" t="n">
        <x:f>10^(9*A124/299)</x:f>
        <x:v>1662.400978926612</x:v>
      </x:c>
      <x:c r="C124" t="n">
        <x:f>SQRT($B$12*B124/($B$10*$B$13))</x:f>
        <x:v>0.00012078774188707057</x:v>
      </x:c>
      <x:c r="D124" t="n">
        <x:f>SQRT($B$12*B124/($B$11*$B$14))</x:f>
        <x:v>0.00034764950303873014</x:v>
      </x:c>
      <x:c r="E124" t="n">
        <x:f>SIN(C124*$B$7)</x:f>
        <x:v>0.09647988466515718</x:v>
      </x:c>
      <x:c r="F124" t="n">
        <x:f>COS(C124*$B$7)</x:f>
        <x:v>0.9953349345094836</x:v>
      </x:c>
      <x:c r="G124" t="n">
        <x:f>SIN(D124*$B$8)</x:f>
        <x:v>0.3406888695549028</x:v>
      </x:c>
      <x:c r="H124" t="n">
        <x:f>COS(D124*$B$8)</x:f>
        <x:v>0.9401760974207983</x:v>
      </x:c>
      <x:c r="I124" t="n">
        <x:f>$B$12*B124*$B$9*E124*G124-3*$B$11*$B$14*C124*F124*G124-3*$B$11*$B$14*D124*H124*E124</x:f>
        <x:v>-8967018.051714223</x:v>
      </x:c>
      <x:c r="J124" t="n">
        <x:f>IF(AND(I123&lt;0,I124&gt;=0),1,0)</x:f>
        <x:v>0</x:v>
      </x:c>
    </x:row>
    <x:row r="125">
      <x:c r="A125" t="n">
        <x:f>A124+1</x:f>
        <x:v>108</x:v>
      </x:c>
      <x:c r="B125" t="n">
        <x:f>10^(9*A125/299)</x:f>
        <x:v>1781.7063195457306</x:v>
      </x:c>
      <x:c r="C125" t="n">
        <x:f>SQRT($B$12*B125/($B$10*$B$13))</x:f>
        <x:v>0.00012504692871976333</x:v>
      </x:c>
      <x:c r="D125" t="n">
        <x:f>SQRT($B$12*B125/($B$11*$B$14))</x:f>
        <x:v>0.0003599082319676897</x:v>
      </x:c>
      <x:c r="E125" t="n">
        <x:f>SIN(C125*$B$7)</x:f>
        <x:v>0.09987077199377156</x:v>
      </x:c>
      <x:c r="F125" t="n">
        <x:f>COS(C125*$B$7)</x:f>
        <x:v>0.9950004165332637</x:v>
      </x:c>
      <x:c r="G125" t="n">
        <x:f>SIN(D125*$B$8)</x:f>
        <x:v>0.35218834638194</x:v>
      </x:c>
      <x:c r="H125" t="n">
        <x:f>COS(D125*$B$8)</x:f>
        <x:v>0.9359291472503433</x:v>
      </x:c>
      <x:c r="I125" t="n">
        <x:f>$B$12*B125*$B$9*E125*G125-3*$B$11*$B$14*C125*F125*G125-3*$B$11*$B$14*D125*H125*E125</x:f>
        <x:v>-9580908.98584098</x:v>
      </x:c>
      <x:c r="J125" t="n">
        <x:f>IF(AND(I124&lt;0,I125&gt;=0),1,0)</x:f>
        <x:v>0</x:v>
      </x:c>
    </x:row>
    <x:row r="126">
      <x:c r="A126" t="n">
        <x:f>A125+1</x:f>
        <x:v>109</x:v>
      </x:c>
      <x:c r="B126" t="n">
        <x:f>10^(9*A126/299)</x:f>
        <x:v>1909.5738328780967</x:v>
      </x:c>
      <x:c r="C126" t="n">
        <x:f>SQRT($B$12*B126/($B$10*$B$13))</x:f>
        <x:v>0.00012945630192230092</x:v>
      </x:c>
      <x:c r="D126" t="n">
        <x:f>SQRT($B$12*B126/($B$11*$B$14))</x:f>
        <x:v>0.00037259922509849663</x:v>
      </x:c>
      <x:c r="E126" t="n">
        <x:f>SIN(C126*$B$7)</x:f>
        <x:v>0.10338000589564961</x:v>
      </x:c>
      <x:c r="F126" t="n">
        <x:f>COS(C126*$B$7)</x:f>
        <x:v>0.9946419327481701</x:v>
      </x:c>
      <x:c r="G126" t="n">
        <x:f>SIN(D126*$B$8)</x:f>
        <x:v>0.3640375363420021</x:v>
      </x:c>
      <x:c r="H126" t="n">
        <x:f>COS(D126*$B$8)</x:f>
        <x:v>0.9313842773710782</x:v>
      </x:c>
      <x:c r="I126" t="n">
        <x:f>$B$12*B126*$B$9*E126*G126-3*$B$11*$B$14*C126*F126*G126-3*$B$11*$B$14*D126*H126*E126</x:f>
        <x:v>-10234503.99396566</x:v>
      </x:c>
      <x:c r="J126" t="n">
        <x:f>IF(AND(I125&lt;0,I126&gt;=0),1,0)</x:f>
        <x:v>0</x:v>
      </x:c>
    </x:row>
    <x:row r="127">
      <x:c r="A127" t="n">
        <x:f>A126+1</x:f>
        <x:v>110</x:v>
      </x:c>
      <x:c r="B127" t="n">
        <x:f>10^(9*A127/299)</x:f>
        <x:v>2046.6179993919898</x:v>
      </x:c>
      <x:c r="C127" t="n">
        <x:f>SQRT($B$12*B127/($B$10*$B$13))</x:f>
        <x:v>0.00013402115732850654</x:v>
      </x:c>
      <x:c r="D127" t="n">
        <x:f>SQRT($B$12*B127/($B$11*$B$14))</x:f>
        <x:v>0.0003857377248222084</x:v>
      </x:c>
      <x:c r="E127" t="n">
        <x:f>SIN(C127*$B$7)</x:f>
        <x:v>0.10701162575471575</x:v>
      </x:c>
      <x:c r="F127" t="n">
        <x:f>COS(C127*$B$7)</x:f>
        <x:v>0.9942577693703644</x:v>
      </x:c>
      <x:c r="G127" t="n">
        <x:f>SIN(D127*$B$8)</x:f>
        <x:v>0.37624275669769436</x:v>
      </x:c>
      <x:c r="H127" t="n">
        <x:f>COS(D127*$B$8)</x:f>
        <x:v>0.9265211212015189</x:v>
      </x:c>
      <x:c r="I127" t="n">
        <x:f>$B$12*B127*$B$9*E127*G127-3*$B$11*$B$14*C127*F127*G127-3*$B$11*$B$14*D127*H127*E127</x:f>
        <x:v>-10930017.84710101</x:v>
      </x:c>
      <x:c r="J127" t="n">
        <x:f>IF(AND(I126&lt;0,I127&gt;=0),1,0)</x:f>
        <x:v>0</x:v>
      </x:c>
    </x:row>
    <x:row r="128">
      <x:c r="A128" t="n">
        <x:f>A127+1</x:f>
        <x:v>111</x:v>
      </x:c>
      <x:c r="B128" t="n">
        <x:f>10^(9*A128/299)</x:f>
        <x:v>2193.49739890506</x:v>
      </x:c>
      <x:c r="C128" t="n">
        <x:f>SQRT($B$12*B128/($B$10*$B$13))</x:f>
        <x:v>0.0001387469775125572</x:v>
      </x:c>
      <x:c r="D128" t="n">
        <x:f>SQRT($B$12*B128/($B$11*$B$14))</x:f>
        <x:v>0.0003993395110032238</x:v>
      </x:c>
      <x:c r="E128" t="n">
        <x:f>SIN(C128*$B$7)</x:f>
        <x:v>0.11076979877078716</x:v>
      </x:c>
      <x:c r="F128" t="n">
        <x:f>COS(C128*$B$7)</x:f>
        <x:v>0.9938460905393145</x:v>
      </x:c>
      <x:c r="G128" t="n">
        <x:f>SIN(D128*$B$8)</x:f>
        <x:v>0.3888099067599451</x:v>
      </x:c>
      <x:c r="H128" t="n">
        <x:f>COS(D128*$B$8)</x:f>
        <x:v>0.9213179996099733</x:v>
      </x:c>
      <x:c r="I128" t="n">
        <x:f>$B$12*B128*$B$9*E128*G128-3*$B$11*$B$14*C128*F128*G128-3*$B$11*$B$14*D128*H128*E128</x:f>
        <x:v>-11669732.7750886</x:v>
      </x:c>
      <x:c r="J128" t="n">
        <x:f>IF(AND(I127&lt;0,I128&gt;=0),1,0)</x:f>
        <x:v>0</x:v>
      </x:c>
    </x:row>
    <x:row r="129">
      <x:c r="A129" t="n">
        <x:f>A128+1</x:f>
        <x:v>112</x:v>
      </x:c>
      <x:c r="B129" t="n">
        <x:f>10^(9*A129/299)</x:f>
        <x:v>2350.9178754572868</x:v>
      </x:c>
      <x:c r="C129" t="n">
        <x:f>SQRT($B$12*B129/($B$10*$B$13))</x:f>
        <x:v>0.00014363943837377517</x:v>
      </x:c>
      <x:c r="D129" t="n">
        <x:f>SQRT($B$12*B129/($B$11*$B$14))</x:f>
        <x:v>0.0004134209199315327</x:v>
      </x:c>
      <x:c r="E129" t="n">
        <x:f>SIN(C129*$B$7)</x:f>
        <x:v>0.11465882287066108</x:v>
      </x:c>
      <x:c r="F129" t="n">
        <x:f>COS(C129*$B$7)</x:f>
        <x:v>0.9934049296927786</x:v>
      </x:c>
      <x:c r="G129" t="n">
        <x:f>SIN(D129*$B$8)</x:f>
        <x:v>0.4017443863684342</x:v>
      </x:c>
      <x:c r="H129" t="n">
        <x:f>COS(D129*$B$8)</x:f>
        <x:v>0.9157518484946947</x:v>
      </x:c>
      <x:c r="I129" t="n">
        <x:f>$B$12*B129*$B$9*E129*G129-3*$B$11*$B$14*C129*F129*G129-3*$B$11*$B$14*D129*H129*E129</x:f>
        <x:v>-12455990.362163123</x:v>
      </x:c>
      <x:c r="J129" t="n">
        <x:f>IF(AND(I128&lt;0,I129&gt;=0),1,0)</x:f>
        <x:v>0</x:v>
      </x:c>
    </x:row>
    <x:row r="130">
      <x:c r="A130" t="n">
        <x:f>A129+1</x:f>
        <x:v>113</x:v>
      </x:c>
      <x:c r="B130" t="n">
        <x:f>10^(9*A130/299)</x:f>
        <x:v>2519.6359293170162</x:v>
      </x:c>
      <x:c r="C130" t="n">
        <x:f>SQRT($B$12*B130/($B$10*$B$13))</x:f>
        <x:v>0.00014870441595361066</x:v>
      </x:c>
      <x:c r="D130" t="n">
        <x:f>SQRT($B$12*B130/($B$11*$B$14))</x:f>
        <x:v>0.0004279988639432553</x:v>
      </x:c>
      <x:c r="E130" t="n">
        <x:f>SIN(C130*$B$7)</x:f>
        <x:v>0.11868312954810271</x:v>
      </x:c>
      <x:c r="F130" t="n">
        <x:f>COS(C130*$B$7)</x:f>
        <x:v>0.992932180342982</x:v>
      </x:c>
      <x:c r="G130" t="n">
        <x:f>SIN(D130*$B$8)</x:f>
        <x:v>0.41505100481843776</x:v>
      </x:c>
      <x:c r="H130" t="n">
        <x:f>COS(D130*$B$8)</x:f>
        <x:v>0.9097981443151031</x:v>
      </x:c>
      <x:c r="I130" t="n">
        <x:f>$B$12*B130*$B$9*E130*G130-3*$B$11*$B$14*C130*F130*G130-3*$B$11*$B$14*D130*H130*E130</x:f>
        <x:v>-13291181.08549263</x:v>
      </x:c>
      <x:c r="J130" t="n">
        <x:f>IF(AND(I129&lt;0,I130&gt;=0),1,0)</x:f>
        <x:v>0</x:v>
      </x:c>
    </x:row>
    <x:row r="131">
      <x:c r="A131" t="n">
        <x:f>A130+1</x:f>
        <x:v>114</x:v>
      </x:c>
      <x:c r="B131" t="n">
        <x:f>10^(9*A131/299)</x:f>
        <x:v>2700.4623524206822</x:v>
      </x:c>
      <x:c r="C131" t="n">
        <x:f>SQRT($B$12*B131/($B$10*$B$13))</x:f>
        <x:v>0.00015394799349300228</x:v>
      </x:c>
      <x:c r="D131" t="n">
        <x:f>SQRT($B$12*B131/($B$11*$B$14))</x:f>
        <x:v>0.0004430908517330335</x:v>
      </x:c>
      <x:c r="E131" t="n">
        <x:f>SIN(C131*$B$7)</x:f>
        <x:v>0.12284728661139782</x:v>
      </x:c>
      <x:c r="F131" t="n">
        <x:f>COS(C131*$B$7)</x:f>
        <x:v>0.9924255862140078</x:v>
      </x:c>
      <x:c r="G131" t="n">
        <x:f>SIN(D131*$B$8)</x:f>
        <x:v>0.4287338792837917</x:v>
      </x:c>
      <x:c r="H131" t="n">
        <x:f>COS(D131*$B$8)</x:f>
        <x:v>0.9034308278746476</x:v>
      </x:c>
      <x:c r="I131" t="n">
        <x:f>$B$12*B131*$B$9*E131*G131-3*$B$11*$B$14*C131*F131*G131-3*$B$11*$B$14*D131*H131*E131</x:f>
        <x:v>-14177731.097328227</x:v>
      </x:c>
      <x:c r="J131" t="n">
        <x:f>IF(AND(I130&lt;0,I131&gt;=0),1,0)</x:f>
        <x:v>0</x:v>
      </x:c>
    </x:row>
    <x:row r="132">
      <x:c r="A132" t="n">
        <x:f>A131+1</x:f>
        <x:v>115</x:v>
      </x:c>
      <x:c r="B132" t="n">
        <x:f>10^(9*A132/299)</x:f>
        <x:v>2894.2661247167516</x:v>
      </x:c>
      <x:c r="C132" t="n">
        <x:f>SQRT($B$12*B132/($B$10*$B$13))</x:f>
        <x:v>0.0001593764687385938</x:v>
      </x:c>
      <x:c r="D132" t="n">
        <x:f>SQRT($B$12*B132/($B$11*$B$14))</x:f>
        <x:v>0.00045871500938267617</x:v>
      </x:c>
      <x:c r="E132" t="n">
        <x:f>SIN(C132*$B$7)</x:f>
        <x:v>0.1271560008143603</x:v>
      </x:c>
      <x:c r="F132" t="n">
        <x:f>COS(C132*$B$7)</x:f>
        <x:v>0.9918827306979885</x:v>
      </x:c>
      <x:c r="G132" t="n">
        <x:f>SIN(D132*$B$8)</x:f>
        <x:v>0.44279632170673705</x:v>
      </x:c>
      <x:c r="H132" t="n">
        <x:f>COS(D132*$B$8)</x:f>
        <x:v>0.896622226739324</x:v>
      </x:c>
      <x:c r="I132" t="n">
        <x:f>$B$12*B132*$B$9*E132*G132-3*$B$11*$B$14*C132*F132*G132-3*$B$11*$B$14*D132*H132*E132</x:f>
        <x:v>-15118085.796066057</x:v>
      </x:c>
      <x:c r="J132" t="n">
        <x:f>IF(AND(I131&lt;0,I132&gt;=0),1,0)</x:f>
        <x:v>0</x:v>
      </x:c>
    </x:row>
    <x:row r="133">
      <x:c r="A133" t="n">
        <x:f>A132+1</x:f>
        <x:v>116</x:v>
      </x:c>
      <x:c r="B133" t="n">
        <x:f>10^(9*A133/299)</x:f>
        <x:v>3101.978590138097</x:v>
      </x:c>
      <x:c r="C133" t="n">
        <x:f>SQRT($B$12*B133/($B$10*$B$13))</x:f>
        <x:v>0.0001649963615065796</x:v>
      </x:c>
      <x:c r="D133" t="n">
        <x:f>SQRT($B$12*B133/($B$11*$B$14))</x:f>
        <x:v>0.00047489010213130835</x:v>
      </x:c>
      <x:c r="E133" t="n">
        <x:f>SIN(C133*$B$7)</x:f>
        <x:v>0.13161412034359354</x:v>
      </x:c>
      <x:c r="F133" t="n">
        <x:f>COS(C133*$B$7)</x:f>
        <x:v>0.991301025585156</x:v>
      </x:c>
      <x:c r="G133" t="n">
        <x:f>SIN(D133*$B$8)</x:f>
        <x:v>0.45724071304264075</x:v>
      </x:c>
      <x:c r="H133" t="n">
        <x:f>COS(D133*$B$8)</x:f>
        <x:v>0.8893429767734479</x:v>
      </x:c>
      <x:c r="I133" t="n">
        <x:f>$B$12*B133*$B$9*E133*G133-3*$B$11*$B$14*C133*F133*G133-3*$B$11*$B$14*D133*H133*E133</x:f>
        <x:v>-16114689.669925606</x:v>
      </x:c>
      <x:c r="J133" t="n">
        <x:f>IF(AND(I132&lt;0,I133&gt;=0),1,0)</x:f>
        <x:v>0</x:v>
      </x:c>
    </x:row>
    <x:row r="134">
      <x:c r="A134" t="n">
        <x:f>A133+1</x:f>
        <x:v>117</x:v>
      </x:c>
      <x:c r="B134" t="n">
        <x:f>10^(9*A134/299)</x:f>
        <x:v>3324.597932270942</x:v>
      </x:c>
      <x:c r="C134" t="n">
        <x:f>SQRT($B$12*B134/($B$10*$B$13))</x:f>
        <x:v>0.00017081442151326525</x:v>
      </x:c>
      <x:c r="D134" t="n">
        <x:f>SQRT($B$12*B134/($B$11*$B$14))</x:f>
        <x:v>0.0004916355569131754</x:v>
      </x:c>
      <x:c r="E134" t="n">
        <x:f>SIN(C134*$B$7)</x:f>
        <x:v>0.1362266371313743</x:v>
      </x:c>
      <x:c r="F134" t="n">
        <x:f>COS(C134*$B$7)</x:f>
        <x:v>0.990677699020159</x:v>
      </x:c>
      <x:c r="G134" t="n">
        <x:f>SIN(D134*$B$8)</x:f>
        <x:v>0.4720683636614766</x:v>
      </x:c>
      <x:c r="H134" t="n">
        <x:f>COS(D134*$B$8)</x:f>
        <x:v>0.8815619433879709</x:v>
      </x:c>
      <x:c r="I134" t="n">
        <x:f>$B$12*B134*$B$9*E134*G134-3*$B$11*$B$14*C134*F134*G134-3*$B$11*$B$14*D134*H134*E134</x:f>
        <x:v>-17169961.82865546</x:v>
      </x:c>
      <x:c r="J134" t="n">
        <x:f>IF(AND(I133&lt;0,I134&gt;=0),1,0)</x:f>
        <x:v>0</x:v>
      </x:c>
    </x:row>
    <x:row r="135">
      <x:c r="A135" t="n">
        <x:f>A134+1</x:f>
        <x:v>118</x:v>
      </x:c>
      <x:c r="B135" t="n">
        <x:f>10^(9*A135/299)</x:f>
        <x:v>3563.193971228584</x:v>
      </x:c>
      <x:c r="C135" t="n">
        <x:f>SQRT($B$12*B135/($B$10*$B$13))</x:f>
        <x:v>0.00017683763648174706</x:v>
      </x:c>
      <x:c r="D135" t="n">
        <x:f>SQRT($B$12*B135/($B$11*$B$14))</x:f>
        <x:v>0.0005089714856901691</x:v>
      </x:c>
      <x:c r="E135" t="n">
        <x:f>SIN(C135*$B$7)</x:f>
        <x:v>0.14099868895971004</x:v>
      </x:c>
      <x:c r="F135" t="n">
        <x:f>COS(C135*$B$7)</x:f>
        <x:v>0.9900097826343146</x:v>
      </x:c>
      <x:c r="G135" t="n">
        <x:f>SIN(D135*$B$8)</x:f>
        <x:v>0.4872793586191278</x:v>
      </x:c>
      <x:c r="H135" t="n">
        <x:f>COS(D135*$B$8)</x:f>
        <x:v>0.8732461432286611</x:v>
      </x:c>
      <x:c r="I135" t="n">
        <x:f>$B$12*B135*$B$9*E135*G135-3*$B$11*$B$14*C135*F135*G135-3*$B$11*$B$14*D135*H135*E135</x:f>
        <x:v>-18286266.56330643</x:v>
      </x:c>
      <x:c r="J135" t="n">
        <x:f>IF(AND(I134&lt;0,I135&gt;=0),1,0)</x:f>
        <x:v>0</x:v>
      </x:c>
    </x:row>
    <x:row r="136">
      <x:c r="A136" t="n">
        <x:f>A135+1</x:f>
        <x:v>119</x:v>
      </x:c>
      <x:c r="B136" t="n">
        <x:f>10^(9*A136/299)</x:f>
        <x:v>3818.913304781854</x:v>
      </x:c>
      <x:c r="C136" t="n">
        <x:f>SQRT($B$12*B136/($B$10*$B$13))</x:f>
        <x:v>0.0001830732405344476</x:v>
      </x:c>
      <x:c r="D136" t="n">
        <x:f>SQRT($B$12*B136/($B$11*$B$14))</x:f>
        <x:v>0.0005269187096070993</x:v>
      </x:c>
      <x:c r="E136" t="n">
        <x:f>SIN(C136*$B$7)</x:f>
        <x:v>0.14593556131688531</x:v>
      </x:c>
      <x:c r="F136" t="n">
        <x:f>COS(C136*$B$7)</x:f>
        <x:v>0.9892940978006114</x:v>
      </x:c>
      <x:c r="G136" t="n">
        <x:f>SIN(D136*$B$8)</x:f>
        <x:v>0.5028723864209601</x:v>
      </x:c>
      <x:c r="H136" t="n">
        <x:f>COS(D136*$B$8)</x:f>
        <x:v>0.8643606671843002</x:v>
      </x:c>
      <x:c r="I136" t="n">
        <x:f>$B$12*B136*$B$9*E136*G136-3*$B$11*$B$14*C136*F136*G136-3*$B$11*$B$14*D136*H136*E136</x:f>
        <x:v>-19465878.191362377</x:v>
      </x:c>
      <x:c r="J136" t="n">
        <x:f>IF(AND(I135&lt;0,I136&gt;=0),1,0)</x:f>
        <x:v>0</x:v>
      </x:c>
    </x:row>
    <x:row r="137">
      <x:c r="A137" t="n">
        <x:f>A136+1</x:f>
        <x:v>120</x:v>
      </x:c>
      <x:c r="B137" t="n">
        <x:f>10^(9*A137/299)</x:f>
        <x:v>4092.984818452438</x:v>
      </x:c>
      <x:c r="C137" t="n">
        <x:f>SQRT($B$12*B137/($B$10*$B$13))</x:f>
        <x:v>0.00018952872288158608</x:v>
      </x:c>
      <x:c r="D137" t="n">
        <x:f>SQRT($B$12*B137/($B$11*$B$14))</x:f>
        <x:v>0.0005454987839987229</x:v>
      </x:c>
      <x:c r="E137" t="n">
        <x:f>SIN(C137*$B$7)</x:f>
        <x:v>0.15104268896310988</x:v>
      </x:c>
      <x:c r="F137" t="n">
        <x:f>COS(C137*$B$7)</x:f>
        <x:v>0.9885272409553483</x:v>
      </x:c>
      <x:c r="G137" t="n">
        <x:f>SIN(D137*$B$8)</x:f>
        <x:v>0.5188445498088994</x:v>
      </x:c>
      <x:c r="H137" t="n">
        <x:f>COS(D137*$B$8)</x:f>
        <x:v>0.854868605771437</x:v>
      </x:c>
      <x:c r="I137" t="n">
        <x:f>$B$12*B137*$B$9*E137*G137-3*$B$11*$B$14*C137*F137*G137-3*$B$11*$B$14*D137*H137*E137</x:f>
        <x:v>-20710939.35420548</x:v>
      </x:c>
      <x:c r="J137" t="n">
        <x:f>IF(AND(I136&lt;0,I137&gt;=0),1,0)</x:f>
        <x:v>0</x:v>
      </x:c>
    </x:row>
    <x:row r="138">
      <x:c r="A138" t="n">
        <x:f>A137+1</x:f>
        <x:v>121</x:v>
      </x:c>
      <x:c r="B138" t="n">
        <x:f>10^(9*A138/299)</x:f>
        <x:v>4386.725591048499</x:v>
      </x:c>
      <x:c r="C138" t="n">
        <x:f>SQRT($B$12*B138/($B$10*$B$13))</x:f>
        <x:v>0.0001962118368160203</x:v>
      </x:c>
      <x:c r="D138" t="n">
        <x:f>SQRT($B$12*B138/($B$11*$B$14))</x:f>
        <x:v>0.0005647340242785643</x:v>
      </x:c>
      <x:c r="E138" t="n">
        <x:f>SIN(C138*$B$7)</x:f>
        <x:v>0.15632565715666388</x:v>
      </x:c>
      <x:c r="F138" t="n">
        <x:f>COS(C138*$B$7)</x:f>
        <x:v>0.9877055679272732</x:v>
      </x:c>
      <x:c r="G138" t="n">
        <x:f>SIN(D138*$B$8)</x:f>
        <x:v>0.535191157013035</x:v>
      </x:c>
      <x:c r="H138" t="n">
        <x:f>COS(D138*$B$8)</x:f>
        <x:v>0.8447309781552047</x:v>
      </x:c>
      <x:c r="I138" t="n">
        <x:f>$B$12*B138*$B$9*E138*G138-3*$B$11*$B$14*C138*F138*G138-3*$B$11*$B$14*D138*H138*E138</x:f>
        <x:v>-22023411.836001262</x:v>
      </x:c>
      <x:c r="J138" t="n">
        <x:f>IF(AND(I137&lt;0,I138&gt;=0),1,0)</x:f>
        <x:v>0</x:v>
      </x:c>
    </x:row>
    <x:row r="139">
      <x:c r="A139" t="n">
        <x:f>A138+1</x:f>
        <x:v>122</x:v>
      </x:c>
      <x:c r="B139" t="n">
        <x:f>10^(9*A139/299)</x:f>
        <x:v>4701.547224022134</x:v>
      </x:c>
      <x:c r="C139" t="n">
        <x:f>SQRT($B$12*B139/($B$10*$B$13))</x:f>
        <x:v>0.0002031306090252614</x:v>
      </x:c>
      <x:c r="D139" t="n">
        <x:f>SQRT($B$12*B139/($B$11*$B$14))</x:f>
        <x:v>0.0005846475327406205</x:v>
      </x:c>
      <x:c r="E139" t="n">
        <x:f>SIN(C139*$B$7)</x:f>
        <x:v>0.16179020248615195</x:v>
      </x:c>
      <x:c r="F139" t="n">
        <x:f>COS(C139*$B$7)</x:f>
        <x:v>0.9868251772119974</x:v>
      </x:c>
      <x:c r="G139" t="n">
        <x:f>SIN(D139*$B$8)</x:f>
        <x:v>0.5519054918215487</x:v>
      </x:c>
      <x:c r="H139" t="n">
        <x:f>COS(D139*$B$8)</x:f>
        <x:v>0.8339066662985819</x:v>
      </x:c>
      <x:c r="I139" t="n">
        <x:f>$B$12*B139*$B$9*E139*G139-3*$B$11*$B$14*C139*F139*G139-3*$B$11*$B$14*D139*H139*E139</x:f>
        <x:v>-23405018.86783515</x:v>
      </x:c>
      <x:c r="J139" t="n">
        <x:f>IF(AND(I138&lt;0,I139&gt;=0),1,0)</x:f>
        <x:v>0</x:v>
      </x:c>
    </x:row>
    <x:row r="140">
      <x:c r="A140" t="n">
        <x:f>A139+1</x:f>
        <x:v>123</x:v>
      </x:c>
      <x:c r="B140" t="n">
        <x:f>10^(9*A140/299)</x:f>
        <x:v>5038.96262506515</x:v>
      </x:c>
      <x:c r="C140" t="n">
        <x:f>SQRT($B$12*B140/($B$10*$B$13))</x:f>
        <x:v>0.0002102933492318473</x:v>
      </x:c>
      <x:c r="D140" t="n">
        <x:f>SQRT($B$12*B140/($B$11*$B$14))</x:f>
        <x:v>0.0006052632263061418</x:v>
      </x:c>
      <x:c r="E140" t="n">
        <x:f>SIN(C140*$B$7)</x:f>
        <x:v>0.16744221324806938</x:v>
      </x:c>
      <x:c r="F140" t="n">
        <x:f>COS(C140*$B$7)</x:f>
        <x:v>0.9858818921263277</x:v>
      </x:c>
      <x:c r="G140" t="n">
        <x:f>SIN(D140*$B$8)</x:f>
        <x:v>0.5689785607411352</x:v>
      </x:c>
      <x:c r="H140" t="n">
        <x:f>COS(D140*$B$8)</x:f>
        <x:v>0.8223523559989029</x:v>
      </x:c>
      <x:c r="I140" t="n">
        <x:f>$B$12*B140*$B$9*E140*G140-3*$B$11*$B$14*C140*F140*G140-3*$B$11*$B$14*D140*H140*E140</x:f>
        <x:v>-24857177.76885008</x:v>
      </x:c>
      <x:c r="J140" t="n">
        <x:f>IF(AND(I139&lt;0,I140&gt;=0),1,0)</x:f>
        <x:v>0</x:v>
      </x:c>
    </x:row>
    <x:row r="141">
      <x:c r="A141" t="n">
        <x:f>A140+1</x:f>
        <x:v>124</x:v>
      </x:c>
      <x:c r="B141" t="n">
        <x:f>10^(9*A141/299)</x:f>
        <x:v>5400.593278542374</x:v>
      </x:c>
      <x:c r="C141" t="n">
        <x:f>SQRT($B$12*B141/($B$10*$B$13))</x:f>
        <x:v>0.00021770866017365258</x:v>
      </x:c>
      <x:c r="D141" t="n">
        <x:f>SQRT($B$12*B141/($B$11*$B$14))</x:f>
        <x:v>0.0006266058652488125</x:v>
      </x:c>
      <x:c r="E141" t="n">
        <x:f>SIN(C141*$B$7)</x:f>
        <x:v>0.17328772930178582</x:v>
      </x:c>
      <x:c r="F141" t="n">
        <x:f>COS(C141*$B$7)</x:f>
        <x:v>0.9848712417739849</x:v>
      </x:c>
      <x:c r="G141" t="n">
        <x:f>SIN(D141*$B$8)</x:f>
        <x:v>0.5863988154472191</x:v>
      </x:c>
      <x:c r="H141" t="n">
        <x:f>COS(D141*$B$8)</x:f>
        <x:v>0.810022486874345</x:v>
      </x:c>
      <x:c r="I141" t="n">
        <x:f>$B$12*B141*$B$9*E141*G141-3*$B$11*$B$14*C141*F141*G141-3*$B$11*$B$14*D141*H141*E141</x:f>
        <x:v>-26380921.658167355</x:v>
      </x:c>
      <x:c r="J141" t="n">
        <x:f>IF(AND(I140&lt;0,I141&gt;=0),1,0)</x:f>
        <x:v>0</x:v>
      </x:c>
    </x:row>
    <x:row r="142">
      <x:c r="A142" t="n">
        <x:f>A141+1</x:f>
        <x:v>125</x:v>
      </x:c>
      <x:c r="B142" t="n">
        <x:f>10^(9*A142/299)</x:f>
        <x:v>5788.1770377012745</x:v>
      </x:c>
      <x:c r="C142" t="n">
        <x:f>SQRT($B$12*B142/($B$10*$B$13))</x:f>
        <x:v>0.00022538544793612044</x:v>
      </x:c>
      <x:c r="D142" t="n">
        <x:f>SQRT($B$12*B142/($B$11*$B$14))</x:f>
        <x:v>0.0006487010829328302</x:v>
      </x:c>
      <x:c r="E142" t="n">
        <x:f>SIN(C142*$B$7)</x:f>
        <x:v>0.17933294132619476</x:v>
      </x:c>
      <x:c r="F142" t="n">
        <x:f>COS(C142*$B$7)</x:f>
        <x:v>0.983788440751006</x:v>
      </x:c>
      <x:c r="G142" t="n">
        <x:f>SIN(D142*$B$8)</x:f>
        <x:v>0.6041518486631715</x:v>
      </x:c>
      <x:c r="H142" t="n">
        <x:f>COS(D142*$B$8)</x:f>
        <x:v>0.7968692137087945</x:v>
      </x:c>
      <x:c r="I142" t="n">
        <x:f>$B$12*B142*$B$9*E142*G142-3*$B$11*$B$14*C142*F142*G142-3*$B$11*$B$14*D142*H142*E142</x:f>
        <x:v>-27976808.84900597</x:v>
      </x:c>
      <x:c r="J142" t="n">
        <x:f>IF(AND(I141&lt;0,I142&gt;=0),1,0)</x:f>
        <x:v>0</x:v>
      </x:c>
    </x:row>
    <x:row r="143">
      <x:c r="A143" t="n">
        <x:f>A142+1</x:f>
        <x:v>126</x:v>
      </x:c>
      <x:c r="B143" t="n">
        <x:f>10^(9*A143/299)</x:f>
        <x:v>6203.576476104275</x:v>
      </x:c>
      <x:c r="C143" t="n">
        <x:f>SQRT($B$12*B143/($B$10*$B$13))</x:f>
        <x:v>0.000233332932648829</x:v>
      </x:c>
      <x:c r="D143" t="n">
        <x:f>SQRT($B$12*B143/($B$11*$B$14))</x:f>
        <x:v>0.0006715754165996043</x:v>
      </x:c>
      <x:c r="E143" t="n">
        <x:f>SIN(C143*$B$7)</x:f>
        <x:v>0.1855841893935904</x:v>
      </x:c>
      <x:c r="F143" t="n">
        <x:f>COS(C143*$B$7)</x:f>
        <x:v>0.9826283675159821</x:v>
      </x:c>
      <x:c r="G143" t="n">
        <x:f>SIN(D143*$B$8)</x:f>
        <x:v>0.6222200615652833</x:v>
      </x:c>
      <x:c r="H143" t="n">
        <x:f>COS(D143*$B$8)</x:f>
        <x:v>0.782842381955458</x:v>
      </x:c>
      <x:c r="I143" t="n">
        <x:f>$B$12*B143*$B$9*E143*G143-3*$B$11*$B$14*C143*F143*G143-3*$B$11*$B$14*D143*H143*E143</x:f>
        <x:v>-29644818.411827125</x:v>
      </x:c>
      <x:c r="J143" t="n">
        <x:f>IF(AND(I142&lt;0,I143&gt;=0),1,0)</x:f>
        <x:v>0</x:v>
      </x:c>
    </x:row>
    <x:row r="144">
      <x:c r="A144" t="n">
        <x:f>A143+1</x:f>
        <x:v>127</x:v>
      </x:c>
      <x:c r="B144" t="n">
        <x:f>10^(9*A144/299)</x:f>
        <x:v>6648.787838417263</x:v>
      </x:c>
      <x:c r="C144" t="n">
        <x:f>SQRT($B$12*B144/($B$10*$B$13))</x:f>
        <x:v>0.00024156065955923534</x:v>
      </x:c>
      <x:c r="D144" t="n">
        <x:f>SQRT($B$12*B144/($B$11*$B$14))</x:f>
        <x:v>0.0006952563392400441</x:v>
      </x:c>
      <x:c r="E144" t="n">
        <x:f>SIN(C144*$B$7)</x:f>
        <x:v>0.19204796076672273</x:v>
      </x:c>
      <x:c r="F144" t="n">
        <x:f>COS(C144*$B$7)</x:f>
        <x:v>0.9813855413472033</x:v>
      </x:c>
      <x:c r="G144" t="n">
        <x:f>SIN(D144*$B$8)</x:f>
        <x:v>0.6405823007914199</x:v>
      </x:c>
      <x:c r="H144" t="n">
        <x:f>COS(D144*$B$8)</x:f>
        <x:v>0.7678895206426318</x:v>
      </x:c>
      <x:c r="I144" t="n">
        <x:f>$B$12*B144*$B$9*E144*G144-3*$B$11*$B$14*C144*F144*G144-3*$B$11*$B$14*D144*H144*E144</x:f>
        <x:v>-31384230.26957439</x:v>
      </x:c>
      <x:c r="J144" t="n">
        <x:f>IF(AND(I143&lt;0,I144&gt;=0),1,0)</x:f>
        <x:v>0</x:v>
      </x:c>
    </x:row>
    <x:row r="145">
      <x:c r="A145" t="n">
        <x:f>A144+1</x:f>
        <x:v>128</x:v>
      </x:c>
      <x:c r="B145" t="n">
        <x:f>10^(9*A145/299)</x:f>
        <x:v>7125.950633568411</x:v>
      </x:c>
      <x:c r="C145" t="n">
        <x:f>SQRT($B$12*B145/($B$10*$B$13))</x:f>
        <x:v>0.00025007851049690076</x:v>
      </x:c>
      <x:c r="D145" t="n">
        <x:f>SQRT($B$12*B145/($B$11*$B$14))</x:f>
        <x:v>0.0007197722925907239</x:v>
      </x:c>
      <x:c r="E145" t="n">
        <x:f>SIN(C145*$B$7)</x:f>
        <x:v>0.19873088681437365</x:v>
      </x:c>
      <x:c r="F145" t="n">
        <x:f>COS(C145*$B$7)</x:f>
        <x:v>0.9800540978058163</x:v>
      </x:c>
      <x:c r="G145" t="n">
        <x:f>SIN(D145*$B$8)</x:f>
        <x:v>0.6592134631433244</x:v>
      </x:c>
      <x:c r="H145" t="n">
        <x:f>COS(D145*$B$8)</x:f>
        <x:v>0.7519558564241553</x:v>
      </x:c>
      <x:c r="I145" t="n">
        <x:f>$B$12*B145*$B$9*E145*G145-3*$B$11*$B$14*C145*F145*G145-3*$B$11*$B$14*D145*H145*E145</x:f>
        <x:v>-33193488.069323998</x:v>
      </x:c>
      <x:c r="J145" t="n">
        <x:f>IF(AND(I144&lt;0,I145&gt;=0),1,0)</x:f>
        <x:v>0</x:v>
      </x:c>
    </x:row>
    <x:row r="146">
      <x:c r="A146" t="n">
        <x:f>A145+1</x:f>
        <x:v>129</x:v>
      </x:c>
      <x:c r="B146" t="n">
        <x:f>10^(9*A146/299)</x:f>
        <x:v>7637.35791637802</x:v>
      </x:c>
      <x:c r="C146" t="n">
        <x:f>SQRT($B$12*B146/($B$10*$B$13))</x:f>
        <x:v>0.0002588967157419631</x:v>
      </x:c>
      <x:c r="D146" t="n">
        <x:f>SQRT($B$12*B146/($B$11*$B$14))</x:f>
        <x:v>0.0007451527212935441</x:v>
      </x:c>
      <x:c r="E146" t="n">
        <x:f>SIN(C146*$B$7)</x:f>
        <x:v>0.2056397389290737</x:v>
      </x:c>
      <x:c r="F146" t="n">
        <x:f>COS(C146*$B$7)</x:f>
        <x:v>0.9786277626213056</x:v>
      </x:c>
      <x:c r="G146" t="n">
        <x:f>SIN(D146*$B$8)</x:f>
        <x:v>0.6780840661241615</x:v>
      </x:c>
      <x:c r="H146" t="n">
        <x:f>COS(D146*$B$8)</x:f>
        <x:v>0.7349843530773453</x:v>
      </x:c>
      <x:c r="I146" t="n">
        <x:f>$B$12*B146*$B$9*E146*G146-3*$B$11*$B$14*C146*F146*G146-3*$B$11*$B$14*D146*H146*E146</x:f>
        <x:v>-35070042.966443576</x:v>
      </x:c>
      <x:c r="J146" t="n">
        <x:f>IF(AND(I145&lt;0,I146&gt;=0),1,0)</x:f>
        <x:v>0</x:v>
      </x:c>
    </x:row>
    <x:row r="147">
      <x:c r="A147" t="n">
        <x:f>A146+1</x:f>
        <x:v>130</x:v>
      </x:c>
      <x:c r="B147" t="n">
        <x:f>10^(9*A147/299)</x:f>
        <x:v>8185.467307069029</x:v>
      </x:c>
      <x:c r="C147" t="n">
        <x:f>SQRT($B$12*B147/($B$10*$B$13))</x:f>
        <x:v>0.0002680258663121138</x:v>
      </x:c>
      <x:c r="D147" t="n">
        <x:f>SQRT($B$12*B147/($B$11*$B$14))</x:f>
        <x:v>0.0007714281082599293</x:v>
      </x:c>
      <x:c r="E147" t="n">
        <x:f>SIN(C147*$B$7)</x:f>
        <x:v>0.21278142331765804</x:v>
      </x:c>
      <x:c r="F147" t="n">
        <x:f>COS(C147*$B$7)</x:f>
        <x:v>0.9770998239130492</x:v>
      </x:c>
      <x:c r="G147" t="n">
        <x:f>SIN(D147*$B$8)</x:f>
        <x:v>0.697159782554597</x:v>
      </x:c>
      <x:c r="H147" t="n">
        <x:f>COS(D147*$B$8)</x:f>
        <x:v>0.7169157813777202</x:v>
      </x:c>
      <x:c r="I147" t="n">
        <x:f>$B$12*B147*$B$9*E147*G147-3*$B$11*$B$14*C147*F147*G147-3*$B$11*$B$14*D147*H147*E147</x:f>
        <x:v>-37010176.366938174</x:v>
      </x:c>
      <x:c r="J147" t="n">
        <x:f>IF(AND(I146&lt;0,I147&gt;=0),1,0)</x:f>
        <x:v>0</x:v>
      </x:c>
    </x:row>
    <x:row r="148">
      <x:c r="A148" t="n">
        <x:f>A147+1</x:f>
        <x:v>131</x:v>
      </x:c>
      <x:c r="B148" t="n">
        <x:f>10^(9*A148/299)</x:f>
        <x:v>8772.912801613356</x:v>
      </x:c>
      <x:c r="C148" t="n">
        <x:f>SQRT($B$12*B148/($B$10*$B$13))</x:f>
        <x:v>0.00027747692668283347</x:v>
      </x:c>
      <x:c r="D148" t="n">
        <x:f>SQRT($B$12*B148/($B$11*$B$14))</x:f>
        <x:v>0.0007986300112820227</x:v>
      </x:c>
      <x:c r="E148" t="n">
        <x:f>SIN(C148*$B$7)</x:f>
        <x:v>0.22016297452110017</x:v>
      </x:c>
      <x:c r="F148" t="n">
        <x:f>COS(C148*$B$7)</x:f>
        <x:v>0.9754631026594606</x:v>
      </x:c>
      <x:c r="G148" t="n">
        <x:f>SIN(D148*$B$8)</x:f>
        <x:v>0.71640093767492</x:v>
      </x:c>
      <x:c r="H148" t="n">
        <x:f>COS(D148*$B$8)</x:f>
        <x:v>0.6976888249775077</x:v>
      </x:c>
      <x:c r="I148" t="n">
        <x:f>$B$12*B148*$B$9*E148*G148-3*$B$11*$B$14*C148*F148*G148-3*$B$11*$B$14*D148*H148*E148</x:f>
        <x:v>-39008799.610380374</x:v>
      </x:c>
      <x:c r="J148" t="n">
        <x:f>IF(AND(I147&lt;0,I148&gt;=0),1,0)</x:f>
        <x:v>0</x:v>
      </x:c>
    </x:row>
    <x:row r="149">
      <x:c r="A149" t="n">
        <x:f>A148+1</x:f>
        <x:v>132</x:v>
      </x:c>
      <x:c r="B149" t="n">
        <x:f>10^(9*A149/299)</x:f>
        <x:v>9402.517429670132</x:v>
      </x:c>
      <x:c r="C149" t="n">
        <x:f>SQRT($B$12*B149/($B$10*$B$13))</x:f>
        <x:v>0.0002872612479561669</x:v>
      </x:c>
      <x:c r="D149" t="n">
        <x:f>SQRT($B$12*B149/($B$11*$B$14))</x:f>
        <x:v>0.0008267911009348606</x:v>
      </x:c>
      <x:c r="E149" t="n">
        <x:f>SIN(C149*$B$7)</x:f>
        <x:v>0.22779154750436864</x:v>
      </x:c>
      <x:c r="F149" t="n">
        <x:f>COS(C149*$B$7)</x:f>
        <x:v>0.9737099213243978</x:v>
      </x:c>
      <x:c r="G149" t="n">
        <x:f>SIN(D149*$B$8)</x:f>
        <x:v>0.735761967382282</x:v>
      </x:c>
      <x:c r="H149" t="n">
        <x:f>COS(D149*$B$8)</x:f>
        <x:v>0.67724022868828</x:v>
      </x:c>
      <x:c r="I149" t="n">
        <x:f>$B$12*B149*$B$9*E149*G149-3*$B$11*$B$14*C149*F149*G149-3*$B$11*$B$14*D149*H149*E149</x:f>
        <x:v>-41059228.55158115</x:v>
      </x:c>
      <x:c r="J149" t="n">
        <x:f>IF(AND(I148&lt;0,I149&gt;=0),1,0)</x:f>
        <x:v>0</x:v>
      </x:c>
    </x:row>
    <x:row r="150">
      <x:c r="A150" t="n">
        <x:f>A149+1</x:f>
        <x:v>133</x:v>
      </x:c>
      <x:c r="B150" t="n">
        <x:f>10^(9*A150/299)</x:f>
        <x:v>10077.306820944617</x:v>
      </x:c>
      <x:c r="C150" t="n">
        <x:f>SQRT($B$12*B150/($B$10*$B$13))</x:f>
        <x:v>0.0002973905814938507</x:v>
      </x:c>
      <x:c r="D150" t="n">
        <x:f>SQRT($B$12*B150/($B$11*$B$14))</x:f>
        <x:v>0.0008559451998150406</x:v>
      </x:c>
      <x:c r="E150" t="n">
        <x:f>SIN(C150*$B$7)</x:f>
        <x:v>0.23567440813976082</x:v>
      </x:c>
      <x:c r="F150" t="n">
        <x:f>COS(C150*$B$7)</x:f>
        <x:v>0.9718320705492145</x:v>
      </x:c>
      <x:c r="G150" t="n">
        <x:f>SIN(D150*$B$8)</x:f>
        <x:v>0.7551908365884428</x:v>
      </x:c>
      <x:c r="H150" t="n">
        <x:f>COS(D150*$B$8)</x:f>
        <x:v>0.6555049964209639</x:v>
      </x:c>
      <x:c r="I150" t="n">
        <x:f>$B$12*B150*$B$9*E150*G150-3*$B$11*$B$14*C150*F150*G150-3*$B$11*$B$14*D150*H150*E150</x:f>
        <x:v>-43152931.028930515</x:v>
      </x:c>
      <x:c r="J150" t="n">
        <x:f>IF(AND(I149&lt;0,I150&gt;=0),1,0)</x:f>
        <x:v>0</x:v>
      </x:c>
    </x:row>
    <x:row r="151">
      <x:c r="A151" t="n">
        <x:f>A150+1</x:f>
        <x:v>134</x:v>
      </x:c>
      <x:c r="B151" t="n">
        <x:f>10^(9*A151/299)</x:f>
        <x:v>10800.52374516254</x:v>
      </x:c>
      <x:c r="C151" t="n">
        <x:f>SQRT($B$12*B151/($B$10*$B$13))</x:f>
        <x:v>0.0003078770930311695</x:v>
      </x:c>
      <x:c r="D151" t="n">
        <x:f>SQRT($B$12*B151/($B$11*$B$14))</x:f>
        <x:v>0.0008861273231630145</x:v>
      </x:c>
      <x:c r="E151" t="n">
        <x:f>SIN(C151*$B$7)</x:f>
        <x:v>0.2438189218881675</x:v>
      </x:c>
      <x:c r="F151" t="n">
        <x:f>COS(C151*$B$7)</x:f>
        <x:v>0.9698207738181791</x:v>
      </x:c>
      <x:c r="G151" t="n">
        <x:f>SIN(D151*$B$8)</x:f>
        <x:v>0.7746284171350017</x:v>
      </x:c>
      <x:c r="H151" t="n">
        <x:f>COS(D151*$B$8)</x:f>
        <x:v>0.6324166469716951</x:v>
      </x:c>
      <x:c r="I151" t="n">
        <x:f>$B$12*B151*$B$9*E151*G151-3*$B$11*$B$14*C151*F151*G151-3*$B$11*$B$14*D151*H151*E151</x:f>
        <x:v>-45279245.3097989</x:v>
      </x:c>
      <x:c r="J151" t="n">
        <x:f>IF(AND(I150&lt;0,I151&gt;=0),1,0)</x:f>
        <x:v>0</x:v>
      </x:c>
    </x:row>
    <x:row r="152">
      <x:c r="A152" t="n">
        <x:f>A151+1</x:f>
        <x:v>135</x:v>
      </x:c>
      <x:c r="B152" t="n">
        <x:f>10^(9*A152/299)</x:f>
        <x:v>11575.643695533035</x:v>
      </x:c>
      <x:c r="C152" t="n">
        <x:f>SQRT($B$12*B152/($B$10*$B$13))</x:f>
        <x:v>0.0003187333772884912</x:v>
      </x:c>
      <x:c r="D152" t="n">
        <x:f>SQRT($B$12*B152/($B$11*$B$14))</x:f>
        <x:v>0.0009173737209177942</x:v>
      </x:c>
      <x:c r="E152" t="n">
        <x:f>SIN(C152*$B$7)</x:f>
        <x:v>0.25223254046183324</x:v>
      </x:c>
      <x:c r="F152" t="n">
        <x:f>COS(C152*$B$7)</x:f>
        <x:v>0.9676666500051397</x:v>
      </x:c>
      <x:c r="G152" t="n">
        <x:f>SIN(D152*$B$8)</x:f>
        <x:v>0.794007825293815</x:v>
      </x:c>
      <x:c r="H152" t="n">
        <x:f>COS(D152*$B$8)</x:f>
        <x:v>0.6079075368608179</x:v>
      </x:c>
      <x:c r="I152" t="n">
        <x:f>$B$12*B152*$B$9*E152*G152-3*$B$11*$B$14*C152*F152*G152-3*$B$11*$B$14*D152*H152*E152</x:f>
        <x:v>-47425067.80158992</x:v>
      </x:c>
      <x:c r="J152" t="n">
        <x:f>IF(AND(I151&lt;0,I152&gt;=0),1,0)</x:f>
        <x:v>0</x:v>
      </x:c>
    </x:row>
    <x:row r="153">
      <x:c r="A153" t="n">
        <x:f>A152+1</x:f>
        <x:v>136</x:v>
      </x:c>
      <x:c r="B153" t="n">
        <x:f>10^(9*A153/299)</x:f>
        <x:v>12406.391590588319</x:v>
      </x:c>
      <x:c r="C153" t="n">
        <x:f>SQRT($B$12*B153/($B$10*$B$13))</x:f>
        <x:v>0.0003299724730980317</x:v>
      </x:c>
      <x:c r="D153" t="n">
        <x:f>SQRT($B$12*B153/($B$11*$B$14))</x:f>
        <x:v>0.0009497219212545841</x:v>
      </x:c>
      <x:c r="E153" t="n">
        <x:f>SIN(C153*$B$7)</x:f>
        <x:v>0.2609227862292554</x:v>
      </x:c>
      <x:c r="F153" t="n">
        <x:f>COS(C153*$B$7)</x:f>
        <x:v>0.9653596737104582</x:v>
      </x:c>
      <x:c r="G153" t="n">
        <x:f>SIN(D153*$B$8)</x:f>
        <x:v>0.8132537196378997</x:v>
      </x:c>
      <x:c r="H153" t="n">
        <x:f>COS(D153*$B$8)</x:f>
        <x:v>0.5819092605339087</x:v>
      </x:c>
      <x:c r="I153" t="n">
        <x:f>$B$12*B153*$B$9*E153*G153-3*$B$11*$B$14*C153*F153*G153-3*$B$11*$B$14*D153*H153*E153</x:f>
        <x:v>-49574508.63919406</x:v>
      </x:c>
      <x:c r="J153" t="n">
        <x:f>IF(AND(I152&lt;0,I153&gt;=0),1,0)</x:f>
        <x:v>0</x:v>
      </x:c>
    </x:row>
    <x:row r="154">
      <x:c r="A154" t="n">
        <x:f>A153+1</x:f>
        <x:v>137</x:v>
      </x:c>
      <x:c r="B154" t="n">
        <x:f>10^(9*A154/299)</x:f>
        <x:v>13296.759674662126</x:v>
      </x:c>
      <x:c r="C154" t="n">
        <x:f>SQRT($B$12*B154/($B$10*$B$13))</x:f>
        <x:v>0.00034160787906401273</x:v>
      </x:c>
      <x:c r="D154" t="n">
        <x:f>SQRT($B$12*B154/($B$11*$B$14))</x:f>
        <x:v>0.0009832107756576167</x:v>
      </x:c>
      <x:c r="E154" t="n">
        <x:f>SIN(C154*$B$7)</x:f>
        <x:v>0.2698972340977268</x:v>
      </x:c>
      <x:c r="F154" t="n">
        <x:f>COS(C154*$B$7)</x:f>
        <x:v>0.9628891332995699</x:v>
      </x:c>
      <x:c r="G154" t="n">
        <x:f>SIN(D154*$B$8)</x:f>
        <x:v>0.8322815610245787</x:v>
      </x:c>
      <x:c r="H154" t="n">
        <x:f>COS(D154*$B$8)</x:f>
        <x:v>0.5543531394143001</x:v>
      </x:c>
      <x:c r="I154" t="n">
        <x:f>$B$12*B154*$B$9*E154*G154-3*$B$11*$B$14*C154*F154*G154-3*$B$11*$B$14*D154*H154*E154</x:f>
        <x:v>-51708514.239933185</x:v>
      </x:c>
      <x:c r="J154" t="n">
        <x:f>IF(AND(I153&lt;0,I154&gt;=0),1,0)</x:f>
        <x:v>0</x:v>
      </x:c>
    </x:row>
    <x:row r="155">
      <x:c r="A155" t="n">
        <x:f>A154+1</x:f>
        <x:v>138</x:v>
      </x:c>
      <x:c r="B155" t="n">
        <x:f>10^(9*A155/299)</x:f>
        <x:v>14251.026703029993</x:v>
      </x:c>
      <x:c r="C155" t="n">
        <x:f>SQRT($B$12*B155/($B$10*$B$13))</x:f>
        <x:v>0.0003536535697750276</x:v>
      </x:c>
      <x:c r="D155" t="n">
        <x:f>SQRT($B$12*B155/($B$11*$B$14))</x:f>
        <x:v>0.0010178805055823452</x:v>
      </x:c>
      <x:c r="E155" t="n">
        <x:f>SIN(C155*$B$7)</x:f>
        <x:v>0.27916349058150436</x:v>
      </x:c>
      <x:c r="F155" t="n">
        <x:f>COS(C155*$B$7)</x:f>
        <x:v>0.9602435865583016</x:v>
      </x:c>
      <x:c r="G155" t="n">
        <x:f>SIN(D155*$B$8)</x:f>
        <x:v>0.8509968376245955</x:v>
      </x:c>
      <x:c r="H155" t="n">
        <x:f>COS(D155*$B$8)</x:f>
        <x:v>0.5251708125485818</x:v>
      </x:c>
      <x:c r="I155" t="n">
        <x:f>$B$12*B155*$B$9*E155*G155-3*$B$11*$B$14*C155*F155*G155-3*$B$11*$B$14*D155*H155*E155</x:f>
        <x:v>-53804456.596771464</x:v>
      </x:c>
      <x:c r="J155" t="n">
        <x:f>IF(AND(I154&lt;0,I155&gt;=0),1,0)</x:f>
        <x:v>0</x:v>
      </x:c>
    </x:row>
    <x:row r="156">
      <x:c r="A156" t="n">
        <x:f>A155+1</x:f>
        <x:v>139</x:v>
      </x:c>
      <x:c r="B156" t="n">
        <x:f>10^(9*A156/299)</x:f>
        <x:v>15273.778503907124</x:v>
      </x:c>
      <x:c r="C156" t="n">
        <x:f>SQRT($B$12*B156/($B$10*$B$13))</x:f>
        <x:v>0.00036612401258808076</x:v>
      </x:c>
      <x:c r="D156" t="n">
        <x:f>SQRT($B$12*B156/($B$11*$B$14))</x:f>
        <x:v>0.0010537727507630202</x:v>
      </x:c>
      <x:c r="E156" t="n">
        <x:f>SIN(C156*$B$7)</x:f>
        <x:v>0.2887291697334692</x:v>
      </x:c>
      <x:c r="F156" t="n">
        <x:f>COS(C156*$B$7)</x:f>
        <x:v>0.9574108138855658</x:v>
      </x:c>
      <x:c r="G156" t="n">
        <x:f>SIN(D156*$B$8)</x:f>
        <x:v>0.8692942594001025</x:v>
      </x:c>
      <x:c r="H156" t="n">
        <x:f>COS(D156*$B$8)</x:f>
        <x:v>0.4942949428974844</x:v>
      </x:c>
      <x:c r="I156" t="n">
        <x:f>$B$12*B156*$B$9*E156*G156-3*$B$11*$B$14*C156*F156*G156-3*$B$11*$B$14*D156*H156*E156</x:f>
        <x:v>-55835690.00861247</x:v>
      </x:c>
      <x:c r="J156" t="n">
        <x:f>IF(AND(I155&lt;0,I156&gt;=0),1,0)</x:f>
        <x:v>0</x:v>
      </x:c>
    </x:row>
    <x:row r="157">
      <x:c r="A157" t="n">
        <x:f>A156+1</x:f>
        <x:v>140</x:v>
      </x:c>
      <x:c r="B157" t="n">
        <x:f>10^(9*A157/299)</x:f>
        <x:v>16369.93001611702</x:v>
      </x:c>
      <x:c r="C157" t="n">
        <x:f>SQRT($B$12*B157/($B$10*$B$13))</x:f>
        <x:v>0.00037903418500446497</x:v>
      </x:c>
      <x:c r="D157" t="n">
        <x:f>SQRT($B$12*B157/($B$11*$B$14))</x:f>
        <x:v>0.0010909306192236833</x:v>
      </x:c>
      <x:c r="E157" t="n">
        <x:f>SIN(C157*$B$7)</x:f>
        <x:v>0.2986018655852614</x:v>
      </x:c>
      <x:c r="F157" t="n">
        <x:f>COS(C157*$B$7)</x:f>
        <x:v>0.9543777689515832</x:v>
      </x:c>
      <x:c r="G157" t="n">
        <x:f>SIN(D157*$B$8)</x:f>
        <x:v>0.8870569282279088</x:v>
      </x:c>
      <x:c r="H157" t="n">
        <x:f>COS(D157*$B$8)</x:f>
        <x:v>0.46166005467537113</x:v>
      </x:c>
      <x:c r="I157" t="n">
        <x:f>$B$12*B157*$B$9*E157*G157-3*$B$11*$B$14*C157*F157*G157-3*$B$11*$B$14*D157*H157*E157</x:f>
        <x:v>-57771077.18074463</x:v>
      </x:c>
      <x:c r="J157" t="n">
        <x:f>IF(AND(I156&lt;0,I157&gt;=0),1,0)</x:f>
        <x:v>0</x:v>
      </x:c>
    </x:row>
    <x:row r="158">
      <x:c r="A158" t="n">
        <x:f>A157+1</x:f>
        <x:v>141</x:v>
      </x:c>
      <x:c r="B158" t="n">
        <x:f>10^(9*A158/299)</x:f>
        <x:v>17544.748908334597</x:v>
      </x:c>
      <x:c r="C158" t="n">
        <x:f>SQRT($B$12*B158/($B$10*$B$13))</x:f>
        <x:v>0.0003923995926583376</x:v>
      </x:c>
      <x:c r="D158" t="n">
        <x:f>SQRT($B$12*B158/($B$11*$B$14))</x:f>
        <x:v>0.001129398739052623</x:v>
      </x:c>
      <x:c r="E158" t="n">
        <x:f>SIN(C158*$B$7)</x:f>
        <x:v>0.3087891207049932</x:v>
      </x:c>
      <x:c r="F158" t="n">
        <x:f>COS(C158*$B$7)</x:f>
        <x:v>0.9511305267597278</x:v>
      </x:c>
      <x:c r="G158" t="n">
        <x:f>SIN(D158*$B$8)</x:f>
        <x:v>0.9041554920348011</x:v>
      </x:c>
      <x:c r="H158" t="n">
        <x:f>COS(D158*$B$8)</x:f>
        <x:v>0.42720351850529836</x:v>
      </x:c>
      <x:c r="I158" t="n">
        <x:f>$B$12*B158*$B$9*E158*G158-3*$B$11*$B$14*C158*F158*G158-3*$B$11*$B$14*D158*H158*E158</x:f>
        <x:v>-59574488.23641014</x:v>
      </x:c>
      <x:c r="J158" t="n">
        <x:f>IF(AND(I157&lt;0,I158&gt;=0),1,0)</x:f>
        <x:v>0</x:v>
      </x:c>
    </x:row>
    <x:row r="159">
      <x:c r="A159" t="n">
        <x:f>A158+1</x:f>
        <x:v>142</x:v>
      </x:c>
      <x:c r="B159" t="n">
        <x:f>10^(9*A159/299)</x:f>
        <x:v>18803.880893409165</x:v>
      </x:c>
      <x:c r="C159" t="n">
        <x:f>SQRT($B$12*B159/($B$10*$B$13))</x:f>
        <x:v>0.0004062362879396101</x:v>
      </x:c>
      <x:c r="D159" t="n">
        <x:f>SQRT($B$12*B159/($B$11*$B$14))</x:f>
        <x:v>0.0011692233120025014</x:v>
      </x:c>
      <x:c r="E159" t="n">
        <x:f>SIN(C159*$B$7)</x:f>
        <x:v>0.3192983904425981</x:v>
      </x:c>
      <x:c r="F159" t="n">
        <x:f>COS(C159*$B$7)</x:f>
        <x:v>0.9476542290628825</x:v>
      </x:c>
      <x:c r="G159" t="n">
        <x:f>SIN(D159*$B$8)</x:f>
        <x:v>0.9204472939174602</x:v>
      </x:c>
      <x:c r="H159" t="n">
        <x:f>COS(D159*$B$8)</x:f>
        <x:v>0.39086670249590805</x:v>
      </x:c>
      <x:c r="I159" t="n">
        <x:f>$B$12*B159*$B$9*E159*G159-3*$B$11*$B$14*C159*F159*G159-3*$B$11*$B$14*D159*H159*E159</x:f>
        <x:v>-61204278.23987625</x:v>
      </x:c>
      <x:c r="J159" t="n">
        <x:f>IF(AND(I158&lt;0,I159&gt;=0),1,0)</x:f>
        <x:v>0</x:v>
      </x:c>
    </x:row>
    <x:row r="160">
      <x:c r="A160" t="n">
        <x:f>A159+1</x:f>
        <x:v>143</x:v>
      </x:c>
      <x:c r="B160" t="n">
        <x:f>10^(9*A160/299)</x:f>
        <x:v>20153.37685941731</x:v>
      </x:c>
      <x:c r="C160" t="n">
        <x:f>SQRT($B$12*B160/($B$10*$B$13))</x:f>
        <x:v>0.0004205608892735103</x:v>
      </x:c>
      <x:c r="D160" t="n">
        <x:f>SQRT($B$12*B160/($B$11*$B$14))</x:f>
        <x:v>0.0012104521689805072</x:v>
      </x:c>
      <x:c r="E160" t="n">
        <x:f>SIN(C160*$B$7)</x:f>
        <x:v>0.3301370023904115</x:v>
      </x:c>
      <x:c r="F160" t="n">
        <x:f>COS(C160*$B$7)</x:f>
        <x:v>0.9439330271013264</x:v>
      </x:c>
      <x:c r="G160" t="n">
        <x:f>SIN(D160*$B$8)</x:f>
        <x:v>0.935775530324176</x:v>
      </x:c>
      <x:c r="H160" t="n">
        <x:f>COS(D160*$B$8)</x:f>
        <x:v>0.3525963086115722</x:v>
      </x:c>
      <x:c r="I160" t="n">
        <x:f>$B$12*B160*$B$9*E160*G160-3*$B$11*$B$14*C160*F160*G160-3*$B$11*$B$14*D160*H160*E160</x:f>
        <x:v>-62612751.430754125</x:v>
      </x:c>
      <x:c r="J160" t="n">
        <x:f>IF(AND(I159&lt;0,I160&gt;=0),1,0)</x:f>
        <x:v>0</x:v>
      </x:c>
    </x:row>
    <x:row r="161">
      <x:c r="A161" t="n">
        <x:f>A160+1</x:f>
        <x:v>144</x:v>
      </x:c>
      <x:c r="B161" t="n">
        <x:f>10^(9*A161/299)</x:f>
        <x:v>21599.721947827173</x:v>
      </x:c>
      <x:c r="C161" t="n">
        <x:f>SQRT($B$12*B161/($B$10*$B$13))</x:f>
        <x:v>0.0004353906010799782</x:v>
      </x:c>
      <x:c r="D161" t="n">
        <x:f>SQRT($B$12*B161/($B$11*$B$14))</x:f>
        <x:v>0.0012531348274951958</x:v>
      </x:c>
      <x:c r="E161" t="n">
        <x:f>SIN(C161*$B$7)</x:f>
        <x:v>0.34131211054054167</x:v>
      </x:c>
      <x:c r="F161" t="n">
        <x:f>COS(C161*$B$7)</x:f>
        <x:v>0.9399500216492157</x:v>
      </x:c>
      <x:c r="G161" t="n">
        <x:f>SIN(D161*$B$8)</x:f>
        <x:v>0.9499684360479201</x:v>
      </x:c>
      <x:c r="H161" t="n">
        <x:f>COS(D161*$B$8)</x:f>
        <x:v>0.3123459148326878</x:v>
      </x:c>
      <x:c r="I161" t="n">
        <x:f>$B$12*B161*$B$9*E161*G161-3*$B$11*$B$14*C161*F161*G161-3*$B$11*$B$14*D161*H161*E161</x:f>
        <x:v>-63745623.607646056</x:v>
      </x:c>
      <x:c r="J161" t="n">
        <x:f>IF(AND(I160&lt;0,I161&gt;=0),1,0)</x:f>
        <x:v>0</x:v>
      </x:c>
    </x:row>
    <x:row r="162">
      <x:c r="A162" t="n">
        <x:f>A161+1</x:f>
        <x:v>145</x:v>
      </x:c>
      <x:c r="B162" t="n">
        <x:f>10^(9*A162/299)</x:f>
        <x:v>23149.86671851161</x:v>
      </x:c>
      <x:c r="C162" t="n">
        <x:f>SQRT($B$12*B162/($B$10*$B$13))</x:f>
        <x:v>0.00045074323443686134</x:v>
      </x:c>
      <x:c r="D162" t="n">
        <x:f>SQRT($B$12*B162/($B$11*$B$14))</x:f>
        <x:v>0.0012973225511289925</x:v>
      </x:c>
      <x:c r="E162" t="n">
        <x:f>SIN(C162*$B$7)</x:f>
        <x:v>0.35283064357074667</x:v>
      </x:c>
      <x:c r="F162" t="n">
        <x:f>COS(C162*$B$7)</x:f>
        <x:v>0.9356872003813308</x:v>
      </x:c>
      <x:c r="G162" t="n">
        <x:f>SIN(D162*$B$8)</x:f>
        <x:v>0.9628385180928652</x:v>
      </x:c>
      <x:c r="H162" t="n">
        <x:f>COS(D162*$B$8)</x:f>
        <x:v>0.2700777445046802</x:v>
      </x:c>
      <x:c r="I162" t="n">
        <x:f>$B$12*B162*$B$9*E162*G162-3*$B$11*$B$14*C162*F162*G162-3*$B$11*$B$14*D162*H162*E162</x:f>
        <x:v>-64541498.085054204</x:v>
      </x:c>
      <x:c r="J162" t="n">
        <x:f>IF(AND(I161&lt;0,I162&gt;=0),1,0)</x:f>
        <x:v>0</x:v>
      </x:c>
    </x:row>
    <x:row r="163">
      <x:c r="A163" t="n">
        <x:f>A162+1</x:f>
        <x:v>146</x:v>
      </x:c>
      <x:c r="B163" t="n">
        <x:f>10^(9*A163/299)</x:f>
        <x:v>24811.2605513777</x:v>
      </x:c>
      <x:c r="C163" t="n">
        <x:f>SQRT($B$12*B163/($B$10*$B$13))</x:f>
        <x:v>0.0004666372284717339</x:v>
      </x:c>
      <x:c r="D163" t="n">
        <x:f>SQRT($B$12*B163/($B$11*$B$14))</x:f>
        <x:v>0.0013430684111078142</x:v>
      </x:c>
      <x:c r="E163" t="n">
        <x:f>SIN(C163*$B$7)</x:f>
        <x:v>0.36469924663674097</x:v>
      </x:c>
      <x:c r="F163" t="n">
        <x:f>COS(C163*$B$7)</x:f>
        <x:v>0.9311253726016672</x:v>
      </x:c>
      <x:c r="G163" t="n">
        <x:f>SIN(D163*$B$8)</x:f>
        <x:v>0.9741818655040133</x:v>
      </x:c>
      <x:c r="H163" t="n">
        <x:f>COS(D163*$B$8)</x:f>
        <x:v>0.2257646848449076</x:v>
      </x:c>
      <x:c r="I163" t="n">
        <x:f>$B$12*B163*$B$9*E163*G163-3*$B$11*$B$14*C163*F163*G163-3*$B$11*$B$14*D163*H163*E163</x:f>
        <x:v>-64931375.4969137</x:v>
      </x:c>
      <x:c r="J163" t="n">
        <x:f>IF(AND(I162&lt;0,I163&gt;=0),1,0)</x:f>
        <x:v>0</x:v>
      </x:c>
    </x:row>
    <x:row r="164">
      <x:c r="A164" t="n">
        <x:f>A163+1</x:f>
        <x:v>147</x:v>
      </x:c>
      <x:c r="B164" t="n">
        <x:f>10^(9*A164/299)</x:f>
        <x:v>26591.887445126966</x:v>
      </x:c>
      <x:c r="C164" t="n">
        <x:f>SQRT($B$12*B164/($B$10*$B$13))</x:f>
        <x:v>0.00048309167250802724</x:v>
      </x:c>
      <x:c r="D164" t="n">
        <x:f>SQRT($B$12*B164/($B$11*$B$14))</x:f>
        <x:v>0.0013904273500417353</x:v>
      </x:c>
      <x:c r="E164" t="n">
        <x:f>SIN(C164*$B$7)</x:f>
        <x:v>0.3769242159909271</x:v>
      </x:c>
      <x:c r="F164" t="n">
        <x:f>COS(C164*$B$7)</x:f>
        <x:v>0.926244101411515</x:v>
      </x:c>
      <x:c r="G164" t="n">
        <x:f>SIN(D164*$B$8)</x:f>
        <x:v>0.9837775680667672</x:v>
      </x:c>
      <x:c r="H164" t="n">
        <x:f>COS(D164*$B$8)</x:f>
        <x:v>0.17939257668208333</x:v>
      </x:c>
      <x:c r="I164" t="n">
        <x:f>$B$12*B164*$B$9*E164*G164-3*$B$11*$B$14*C164*F164*G164-3*$B$11*$B$14*D164*H164*E164</x:f>
        <x:v>-64838223.55300827</x:v>
      </x:c>
      <x:c r="J164" t="n">
        <x:f>IF(AND(I163&lt;0,I164&gt;=0),1,0)</x:f>
        <x:v>0</x:v>
      </x:c>
    </x:row>
    <x:row r="165">
      <x:c r="A165" t="n">
        <x:f>A164+1</x:f>
        <x:v>148</x:v>
      </x:c>
      <x:c r="B165" t="n">
        <x:f>10^(9*A165/299)</x:f>
        <x:v>28500.304385181054</x:v>
      </x:c>
      <x:c r="C165" t="n">
        <x:f>SQRT($B$12*B165/($B$10*$B$13))</x:f>
        <x:v>0.0005001263289920715</x:v>
      </x:c>
      <x:c r="D165" t="n">
        <x:f>SQRT($B$12*B165/($B$11*$B$14))</x:f>
        <x:v>0.0014394562479132615</x:v>
      </x:c>
      <x:c r="E165" t="n">
        <x:f>SIN(C165*$B$7)</x:f>
        <x:v>0.3895114256853845</x:v>
      </x:c>
      <x:c r="F165" t="n">
        <x:f>COS(C165*$B$7)</x:f>
        <x:v>0.9210216334378575</x:v>
      </x:c>
      <x:c r="G165" t="n">
        <x:f>SIN(D165*$B$8)</x:f>
        <x:v>0.9913872834609717</x:v>
      </x:c>
      <x:c r="H165" t="n">
        <x:f>COS(D165*$B$8)</x:f>
        <x:v>0.1309627969763737</x:v>
      </x:c>
      <x:c r="I165" t="n">
        <x:f>$B$12*B165*$B$9*E165*G165-3*$B$11*$B$14*C165*F165*G165-3*$B$11*$B$14*D165*H165*E165</x:f>
        <x:v>-64176639.78882806</x:v>
      </x:c>
      <x:c r="J165" t="n">
        <x:f>IF(AND(I164&lt;0,I165&gt;=0),1,0)</x:f>
        <x:v>0</x:v>
      </x:c>
    </x:row>
    <x:row r="166">
      <x:c r="A166" t="n">
        <x:f>A165+1</x:f>
        <x:v>149</x:v>
      </x:c>
      <x:c r="B166" t="n">
        <x:f>10^(9*A166/299)</x:f>
        <x:v>30545.682465154317</x:v>
      </x:c>
      <x:c r="C166" t="n">
        <x:f>SQRT($B$12*B166/($B$10*$B$13))</x:f>
        <x:v>0.0005177616572285869</x:v>
      </x:c>
      <x:c r="D166" t="n">
        <x:f>SQRT($B$12*B166/($B$11*$B$14))</x:f>
        <x:v>0.0014902139903924735</x:v>
      </x:c>
      <x:c r="E166" t="n">
        <x:f>SIN(C166*$B$7)</x:f>
        <x:v>0.4024662455504724</x:v>
      </x:c>
      <x:c r="F166" t="n">
        <x:f>COS(C166*$B$7)</x:f>
        <x:v>0.9154348262943173</x:v>
      </x:c>
      <x:c r="G166" t="n">
        <x:f>SIN(D166*$B$8)</x:f>
        <x:v>0.9967550000543206</x:v>
      </x:c>
      <x:c r="H166" t="n">
        <x:f>COS(D166*$B$8)</x:f>
        <x:v>0.08049515430577939</x:v>
      </x:c>
      <x:c r="I166" t="n">
        <x:f>$B$12*B166*$B$9*E166*G166-3*$B$11*$B$14*C166*F166*G166-3*$B$11*$B$14*D166*H166*E166</x:f>
        <x:v>-62852648.49241115</x:v>
      </x:c>
      <x:c r="J166" t="n">
        <x:f>IF(AND(I165&lt;0,I166&gt;=0),1,0)</x:f>
        <x:v>0</x:v>
      </x:c>
    </x:row>
    <x:row r="167">
      <x:c r="A167" t="n">
        <x:f>A166+1</x:f>
        <x:v>150</x:v>
      </x:c>
      <x:c r="B167" t="n">
        <x:f>10^(9*A167/299)</x:f>
        <x:v>32737.85095948577</x:v>
      </x:c>
      <x:c r="C167" t="n">
        <x:f>SQRT($B$12*B167/($B$10*$B$13))</x:f>
        <x:v>0.0005360188379531256</x:v>
      </x:c>
      <x:c r="D167" t="n">
        <x:f>SQRT($B$12*B167/($B$11*$B$14))</x:f>
        <x:v>0.0015427615395610665</x:v>
      </x:c>
      <x:c r="E167" t="n">
        <x:f>SIN(C167*$B$7)</x:f>
        <x:v>0.4157934495695821</x:v>
      </x:c>
      <x:c r="F167" t="n">
        <x:f>COS(C167*$B$7)</x:f>
        <x:v>0.9094590740077463</x:v>
      </x:c>
      <x:c r="G167" t="n">
        <x:f>SIN(D167*$B$8)</x:f>
        <x:v>0.9996070510898816</x:v>
      </x:c>
      <x:c r="H167" t="n">
        <x:f>COS(D167*$B$8)</x:f>
        <x:v>0.028031115057928786</x:v>
      </x:c>
      <x:c r="I167" t="n">
        <x:f>$B$12*B167*$B$9*E167*G167-3*$B$11*$B$14*C167*F167*G167-3*$B$11*$B$14*D167*H167*E167</x:f>
        <x:v>-60763682.42752372</x:v>
      </x:c>
      <x:c r="J167" t="n">
        <x:f>IF(AND(I166&lt;0,I167&gt;=0),1,0)</x:f>
        <x:v>0</x:v>
      </x:c>
    </x:row>
    <x:row r="168">
      <x:c r="A168" t="n">
        <x:f>A167+1</x:f>
        <x:v>151</x:v>
      </x:c>
      <x:c r="B168" t="n">
        <x:f>10^(9*A168/299)</x:f>
        <x:v>35087.34455902715</x:v>
      </x:c>
      <x:c r="C168" t="n">
        <x:f>SQRT($B$12*B168/($B$10*$B$13))</x:f>
        <x:v>0.000554919798770985</x:v>
      </x:c>
      <x:c r="D168" t="n">
        <x:f>SQRT($B$12*B168/($B$11*$B$14))</x:f>
        <x:v>0.001597162007130257</x:v>
      </x:c>
      <x:c r="E168" t="n">
        <x:f>SIN(C168*$B$7)</x:f>
        <x:v>0.42949711369551585</x:v>
      </x:c>
      <x:c r="F168" t="n">
        <x:f>COS(C168*$B$7)</x:f>
        <x:v>0.9030682307152772</x:v>
      </x:c>
      <x:c r="G168" t="n">
        <x:f>SIN(D168*$B$8)</x:f>
        <x:v>0.9996524455844382</x:v>
      </x:c>
      <x:c r="H168" t="n">
        <x:f>COS(D168*$B$8)</x:f>
        <x:v>-0.026362625761707534</x:v>
      </x:c>
      <x:c r="I168" t="n">
        <x:f>$B$12*B168*$B$9*E168*G168-3*$B$11*$B$14*C168*F168*G168-3*$B$11*$B$14*D168*H168*E168</x:f>
        <x:v>-57798810.74484699</x:v>
      </x:c>
      <x:c r="J168" t="n">
        <x:f>IF(AND(I167&lt;0,I168&gt;=0),1,0)</x:f>
        <x:v>0</x:v>
      </x:c>
    </x:row>
    <x:row r="169">
      <x:c r="A169" t="n">
        <x:f>A168+1</x:f>
        <x:v>152</x:v>
      </x:c>
      <x:c r="B169" t="n">
        <x:f>10^(9*A169/299)</x:f>
        <x:v>37605.45399658168</x:v>
      </x:c>
      <x:c r="C169" t="n">
        <x:f>SQRT($B$12*B169/($B$10*$B$13))</x:f>
        <x:v>0.0005744872404931388</x:v>
      </x:c>
      <x:c r="D169" t="n">
        <x:f>SQRT($B$12*B169/($B$11*$B$14))</x:f>
        <x:v>0.0016534807302404724</x:v>
      </x:c>
      <x:c r="E169" t="n">
        <x:f>SIN(C169*$B$7)</x:f>
        <x:v>0.44358050207479033</x:v>
      </x:c>
      <x:c r="F169" t="n">
        <x:f>COS(C169*$B$7)</x:f>
        <x:v>0.8962345330208366</x:v>
      </x:c>
      <x:c r="G169" t="n">
        <x:f>SIN(D169*$B$8)</x:f>
        <x:v>0.9965835917951341</x:v>
      </x:c>
      <x:c r="H169" t="n">
        <x:f>COS(D169*$B$8)</x:f>
        <x:v>-0.08259022075711842</x:v>
      </x:c>
      <x:c r="I169" t="n">
        <x:f>$B$12*B169*$B$9*E169*G169-3*$B$11*$B$14*C169*F169*G169-3*$B$11*$B$14*D169*H169*E169</x:f>
        <x:v>-53839286.56135616</x:v>
      </x:c>
      <x:c r="J169" t="n">
        <x:f>IF(AND(I168&lt;0,I169&gt;=0),1,0)</x:f>
        <x:v>0</x:v>
      </x:c>
    </x:row>
    <x:row r="170">
      <x:c r="A170" t="n">
        <x:f>A169+1</x:f>
        <x:v>153</x:v>
      </x:c>
      <x:c r="B170" t="n">
        <x:f>10^(9*A170/299)</x:f>
        <x:v>40304.280305680506</x:v>
      </x:c>
      <x:c r="C170" t="n">
        <x:f>SQRT($B$12*B170/($B$10*$B$13))</x:f>
        <x:v>0.0005947446644008234</x:v>
      </x:c>
      <x:c r="D170" t="n">
        <x:f>SQRT($B$12*B170/($B$11*$B$14))</x:f>
        <x:v>0.0017117853499338824</x:v>
      </x:c>
      <x:c r="E170" t="n">
        <x:f>SIN(C170*$B$7)</x:f>
        <x:v>0.45804594056321535</x:v>
      </x:c>
      <x:c r="F170" t="n">
        <x:f>COS(C170*$B$7)</x:f>
        <x:v>0.8889285214985283</x:v>
      </x:c>
      <x:c r="G170" t="n">
        <x:f>SIN(D170*$B$8)</x:f>
        <x:v>0.990077500567716</x:v>
      </x:c>
      <x:c r="H170" t="n">
        <x:f>COS(D170*$B$8)</x:f>
        <x:v>-0.1405223927692107</x:v>
      </x:c>
      <x:c r="I170" t="n">
        <x:f>$B$12*B170*$B$9*E170*G170-3*$B$11*$B$14*C170*F170*G170-3*$B$11*$B$14*D170*H170*E170</x:f>
        <x:v>-48759500.97742596</x:v>
      </x:c>
      <x:c r="J170" t="n">
        <x:f>IF(AND(I169&lt;0,I170&gt;=0),1,0)</x:f>
        <x:v>0</x:v>
      </x:c>
    </x:row>
    <x:row r="171">
      <x:c r="A171" t="n">
        <x:f>A170+1</x:f>
        <x:v>154</x:v>
      </x:c>
      <x:c r="B171" t="n">
        <x:f>10^(9*A171/299)</x:f>
        <x:v>43196.79297334173</x:v>
      </x:c>
      <x:c r="C171" t="n">
        <x:f>SQRT($B$12*B171/($B$10*$B$13))</x:f>
        <x:v>0.0006157164004715132</x:v>
      </x:c>
      <x:c r="D171" t="n">
        <x:f>SQRT($B$12*B171/($B$11*$B$14))</x:f>
        <x:v>0.0017721458923939876</x:v>
      </x:c>
      <x:c r="E171" t="n">
        <x:f>SIN(C171*$B$7)</x:f>
        <x:v>0.472894676329802</x:v>
      </x:c>
      <x:c r="F171" t="n">
        <x:f>COS(C171*$B$7)</x:f>
        <x:v>0.8811189619449419</x:v>
      </x:c>
      <x:c r="G171" t="n">
        <x:f>SIN(D171*$B$8)</x:f>
        <x:v>0.9797975681173198</x:v>
      </x:c>
      <x:c r="H171" t="n">
        <x:f>COS(D171*$B$8)</x:f>
        <x:v>-0.19999181361092289</x:v>
      </x:c>
      <x:c r="I171" t="n">
        <x:f>$B$12*B171*$B$9*E171*G171-3*$B$11*$B$14*C171*F171*G171-3*$B$11*$B$14*D171*H171*E171</x:f>
        <x:v>-42428444.54063155</x:v>
      </x:c>
      <x:c r="J171" t="n">
        <x:f>IF(AND(I170&lt;0,I171&gt;=0),1,0)</x:f>
        <x:v>0</x:v>
      </x:c>
    </x:row>
    <x:row r="172">
      <x:c r="A172" t="n">
        <x:f>A171+1</x:f>
        <x:v>155</x:v>
      </x:c>
      <x:c r="B172" t="n">
        <x:f>10^(9*A172/299)</x:f>
        <x:v>46296.892266272676</x:v>
      </x:c>
      <x:c r="C172" t="n">
        <x:f>SQRT($B$12*B172/($B$10*$B$13))</x:f>
        <x:v>0.0006374276366002016</x:v>
      </x:c>
      <x:c r="D172" t="n">
        <x:f>SQRT($B$12*B172/($B$11*$B$14))</x:f>
        <x:v>0.0018346348530498783</x:v>
      </x:c>
      <x:c r="E172" t="n">
        <x:f>SIN(C172*$B$7)</x:f>
        <x:v>0.48812672225712994</x:v>
      </x:c>
      <x:c r="F172" t="n">
        <x:f>COS(C172*$B$7)</x:f>
        <x:v>0.8727727671155366</x:v>
      </x:c>
      <x:c r="G172" t="n">
        <x:f>SIN(D172*$B$8)</x:f>
        <x:v>0.9653960505863897</x:v>
      </x:c>
      <x:c r="H172" t="n">
        <x:f>COS(D172*$B$8)</x:f>
        <x:v>-0.2607881621396972</x:v>
      </x:c>
      <x:c r="I172" t="n">
        <x:f>$B$12*B172*$B$9*E172*G172-3*$B$11*$B$14*C172*F172*G172-3*$B$11*$B$14*D172*H172*E172</x:f>
        <x:v>-34711791.91740313</x:v>
      </x:c>
      <x:c r="J172" t="n">
        <x:f>IF(AND(I171&lt;0,I172&gt;=0),1,0)</x:f>
        <x:v>0</x:v>
      </x:c>
    </x:row>
    <x:row r="173">
      <x:c r="A173" t="n">
        <x:f>A172+1</x:f>
        <x:v>156</x:v>
      </x:c>
      <x:c r="B173" t="n">
        <x:f>10^(9*A173/299)</x:f>
        <x:v>49619.47603002908</x:v>
      </x:c>
      <x:c r="C173" t="n">
        <x:f>SQRT($B$12*B173/($B$10*$B$13))</x:f>
        <x:v>0.00065990444885107</x:v>
      </x:c>
      <x:c r="D173" t="n">
        <x:f>SQRT($B$12*B173/($B$11*$B$14))</x:f>
        <x:v>0.0018993272836461464</x:v>
      </x:c>
      <x:c r="E173" t="n">
        <x:f>SIN(C173*$B$7)</x:f>
        <x:v>0.5037406847555986</x:v>
      </x:c>
      <x:c r="F173" t="n">
        <x:f>COS(C173*$B$7)</x:f>
        <x:v>0.8638549198343206</x:v>
      </x:c>
      <x:c r="G173" t="n">
        <x:f>SIN(D173*$B$8)</x:f>
        <x:v>0.946517355726907</x:v>
      </x:c>
      <x:c r="H173" t="n">
        <x:f>COS(D173*$B$8)</x:f>
        <x:v>-0.3226529022149712</x:v>
      </x:c>
      <x:c r="I173" t="n">
        <x:f>$B$12*B173*$B$9*E173*G173-3*$B$11*$B$14*C173*F173*G173-3*$B$11*$B$14*D173*H173*E173</x:f>
        <x:v>-25474740.111167334</x:v>
      </x:c>
      <x:c r="J173" t="n">
        <x:f>IF(AND(I172&lt;0,I173&gt;=0),1,0)</x:f>
        <x:v>0</x:v>
      </x:c>
    </x:row>
    <x:row r="174">
      <x:c r="A174" t="n">
        <x:f>A173+1</x:f>
        <x:v>157</x:v>
      </x:c>
      <x:c r="B174" t="n">
        <x:f>10^(9*A174/299)</x:f>
        <x:v>53180.51128214197</x:v>
      </x:c>
      <x:c r="C174" t="n">
        <x:f>SQRT($B$12*B174/($B$10*$B$13))</x:f>
        <x:v>0.0006831738327758856</x:v>
      </x:c>
      <x:c r="D174" t="n">
        <x:f>SQRT($B$12*B174/($B$11*$B$14))</x:f>
        <x:v>0.001966300882383035</x:v>
      </x:c>
      <x:c r="E174" t="n">
        <x:f>SIN(C174*$B$7)</x:f>
        <x:v>0.5197335735178036</x:v>
      </x:c>
      <x:c r="F174" t="n">
        <x:f>COS(C174*$B$7)</x:f>
        <x:v>0.8543283985437999</x:v>
      </x:c>
      <x:c r="G174" t="n">
        <x:f>SIN(D174*$B$8)</x:f>
        <x:v>0.9228022897627888</x:v>
      </x:c>
      <x:c r="H174" t="n">
        <x:f>COS(D174*$B$8)</x:f>
        <x:v>-0.3852738428813381</x:v>
      </x:c>
      <x:c r="I174" t="n">
        <x:f>$B$12*B174*$B$9*E174*G174-3*$B$11*$B$14*C174*F174*G174-3*$B$11*$B$14*D174*H174*E174</x:f>
        <x:v>-14585743.95343522</x:v>
      </x:c>
      <x:c r="J174" t="n">
        <x:f>IF(AND(I173&lt;0,I174&gt;=0),1,0)</x:f>
        <x:v>0</x:v>
      </x:c>
    </x:row>
    <x:row r="175">
      <x:c r="A175" t="n">
        <x:f>A174+1</x:f>
        <x:v>158</x:v>
      </x:c>
      <x:c r="B175" t="n">
        <x:f>10^(9*A175/299)</x:f>
        <x:v>56997.110943260755</x:v>
      </x:c>
      <x:c r="C175" t="n">
        <x:f>SQRT($B$12*B175/($B$10*$B$13))</x:f>
        <x:v>0.0007072637358367422</x:v>
      </x:c>
      <x:c r="D175" t="n">
        <x:f>SQRT($B$12*B175/($B$11*$B$14))</x:f>
        <x:v>0.0020356360872350963</x:v>
      </x:c>
      <x:c r="E175" t="n">
        <x:f>SIN(C175*$B$7)</x:f>
        <x:v>0.53610059164916</x:v>
      </x:c>
      <x:c r="F175" t="n">
        <x:f>COS(C175*$B$7)</x:f>
        <x:v>0.8441541065666983</x:v>
      </x:c>
      <x:c r="G175" t="n">
        <x:f>SIN(D175*$B$8)</x:f>
        <x:v>0.8938934092035197</x:v>
      </x:c>
      <x:c r="H175" t="n">
        <x:f>COS(D175*$B$8)</x:f>
        <x:v>-0.4482795701150219</x:v>
      </x:c>
      <x:c r="I175" t="n">
        <x:f>$B$12*B175*$B$9*E175*G175-3*$B$11*$B$14*C175*F175*G175-3*$B$11*$B$14*D175*H175*E175</x:f>
        <x:v>-1921303.358780682</x:v>
      </x:c>
      <x:c r="J175" t="n">
        <x:f>IF(AND(I174&lt;0,I175&gt;=0),1,0)</x:f>
        <x:v>0</x:v>
      </x:c>
    </x:row>
    <x:row r="176">
      <x:c r="A176" t="n">
        <x:f>A175+1</x:f>
        <x:v>159</x:v>
      </x:c>
      <x:c r="B176" t="n">
        <x:f>10^(9*A176/299)</x:f>
        <x:v>61087.6160750504</x:v>
      </x:c>
      <x:c r="C176" t="n">
        <x:f>SQRT($B$12*B176/($B$10*$B$13))</x:f>
        <x:v>0.000732203090972078</x:v>
      </x:c>
      <x:c r="D176" t="n">
        <x:f>SQRT($B$12*B176/($B$11*$B$14))</x:f>
        <x:v>0.0021074161725604104</x:v>
      </x:c>
      <x:c r="E176" t="n">
        <x:f>SIN(C176*$B$7)</x:f>
        <x:v>0.5528349045239143</x:v>
      </x:c>
      <x:c r="F176" t="n">
        <x:f>COS(C176*$B$7)</x:f>
        <x:v>0.8332908065855729</x:v>
      </x:c>
      <x:c r="G176" t="n">
        <x:f>SIN(D176*$B$8)</x:f>
        <x:v>0.8594416371578038</x:v>
      </x:c>
      <x:c r="H176" t="n">
        <x:f>COS(D176*$B$8)</x:f>
        <x:v>-0.5112338724297463</x:v>
      </x:c>
      <x:c r="I176" t="n">
        <x:f>$B$12*B176*$B$9*E176*G176-3*$B$11*$B$14*C176*F176*G176-3*$B$11*$B$14*D176*H176*E176</x:f>
        <x:v>12628036.981373303</x:v>
      </x:c>
      <x:c r="J176" t="n">
        <x:f>IF(AND(I175&lt;0,I176&gt;=0),1,0)</x:f>
        <x:v>1</x:v>
      </x:c>
    </x:row>
    <x:row r="177">
      <x:c r="A177" t="n">
        <x:f>A176+1</x:f>
        <x:v>160</x:v>
      </x:c>
      <x:c r="B177" t="n">
        <x:f>10^(9*A177/299)</x:f>
        <x:v>65471.68402004743</x:v>
      </x:c>
      <x:c r="C177" t="n">
        <x:f>SQRT($B$12*B177/($B$10*$B$13))</x:f>
        <x:v>0.0007580218513462964</x:v>
      </x:c>
      <x:c r="D177" t="n">
        <x:f>SQRT($B$12*B177/($B$11*$B$14))</x:f>
        <x:v>0.0021817273491164303</x:v>
      </x:c>
      <x:c r="E177" t="n">
        <x:f>SIN(C177*$B$7)</x:f>
        <x:v>0.5699273856344467</x:v>
      </x:c>
      <x:c r="F177" t="n">
        <x:f>COS(C177*$B$7)</x:f>
        <x:v>0.8216950621148241</x:v>
      </x:c>
      <x:c r="G177" t="n">
        <x:f>SIN(D177*$B$8)</x:f>
        <x:v>0.8191143102934217</x:v>
      </x:c>
      <x:c r="H177" t="n">
        <x:f>COS(D177*$B$8)</x:f>
        <x:v>-0.5736303223091785</x:v>
      </x:c>
      <x:c r="I177" t="n">
        <x:f>$B$12*B177*$B$9*E177*G177-3*$B$11*$B$14*C177*F177*G177-3*$B$11*$B$14*D177*H177*E177</x:f>
        <x:v>29150315.78349635</x:v>
      </x:c>
      <x:c r="J177" t="n">
        <x:f>IF(AND(I176&lt;0,I177&gt;=0),1,0)</x:f>
        <x:v>0</x:v>
      </x:c>
    </x:row>
    <x:row r="178">
      <x:c r="A178" t="n">
        <x:f>A177+1</x:f>
        <x:v>161</x:v>
      </x:c>
      <x:c r="B178" t="n">
        <x:f>10^(9*A178/299)</x:f>
        <x:v>70170.38286703822</x:v>
      </x:c>
      <x:c r="C178" t="n">
        <x:f>SQRT($B$12*B178/($B$10*$B$13))</x:f>
        <x:v>0.0007847510263247138</x:v>
      </x:c>
      <x:c r="D178" t="n">
        <x:f>SQRT($B$12*B178/($B$11*$B$14))</x:f>
        <x:v>0.002258658867602552</x:v>
      </x:c>
      <x:c r="E178" t="n">
        <x:f>SIN(C178*$B$7)</x:f>
        <x:v>0.58736633762949</x:v>
      </x:c>
      <x:c r="F178" t="n">
        <x:f>COS(C178*$B$7)</x:f>
        <x:v>0.8093211880457103</x:v>
      </x:c>
      <x:c r="G178" t="n">
        <x:f>SIN(D178*$B$8)</x:f>
        <x:v>0.7726048244050754</x:v>
      </x:c>
      <x:c r="H178" t="n">
        <x:f>COS(D178*$B$8)</x:f>
        <x:v>-0.6348872225096381</x:v>
      </x:c>
      <x:c r="I178" t="n">
        <x:f>$B$12*B178*$B$9*E178*G178-3*$B$11*$B$14*C178*F178*G178-3*$B$11*$B$14*D178*H178*E178</x:f>
        <x:v>47703263.07456991</x:v>
      </x:c>
      <x:c r="J178" t="n">
        <x:f>IF(AND(I177&lt;0,I178&gt;=0),1,0)</x:f>
        <x:v>0</x:v>
      </x:c>
    </x:row>
    <x:row r="179">
      <x:c r="A179" t="n">
        <x:f>A178+1</x:f>
        <x:v>162</x:v>
      </x:c>
      <x:c r="B179" t="n">
        <x:f>10^(9*A179/299)</x:f>
        <x:v>75206.29269592407</x:v>
      </x:c>
      <x:c r="C179" t="n">
        <x:f>SQRT($B$12*B179/($B$10*$B$13))</x:f>
        <x:v>0.0008124227187170536</x:v>
      </x:c>
      <x:c r="D179" t="n">
        <x:f>SQRT($B$12*B179/($B$11*$B$14))</x:f>
        <x:v>0.0023383031258537887</x:v>
      </x:c>
      <x:c r="E179" t="n">
        <x:f>SIN(C179*$B$7)</x:f>
        <x:v>0.6051371866776308</x:v>
      </x:c>
      <x:c r="F179" t="n">
        <x:f>COS(C179*$B$7)</x:f>
        <x:v>0.7961212126930686</x:v>
      </x:c>
      <x:c r="G179" t="n">
        <x:f>SIN(D179*$B$8)</x:f>
        <x:v>0.7196440415614387</x:v>
      </x:c>
      <x:c r="H179" t="n">
        <x:f>COS(D179*$B$8)</x:f>
        <x:v>-0.6943431813196687</x:v>
      </x:c>
      <x:c r="I179" t="n">
        <x:f>$B$12*B179*$B$9*E179*G179-3*$B$11*$B$14*C179*F179*G179-3*$B$11*$B$14*D179*H179*E179</x:f>
        <x:v>68303765.92802775</x:v>
      </x:c>
      <x:c r="J179" t="n">
        <x:f>IF(AND(I178&lt;0,I179&gt;=0),1,0)</x:f>
        <x:v>0</x:v>
      </x:c>
    </x:row>
    <x:row r="180">
      <x:c r="A180" t="n">
        <x:f>A179+1</x:f>
        <x:v>163</x:v>
      </x:c>
      <x:c r="B180" t="n">
        <x:f>10^(9*A180/299)</x:f>
        <x:v>80603.61408861345</x:v>
      </x:c>
      <x:c r="C180" t="n">
        <x:f>SQRT($B$12*B180/($B$10*$B$13))</x:f>
        <x:v>0.0008410701633342007</x:v>
      </x:c>
      <x:c r="D180" t="n">
        <x:f>SQRT($B$12*B180/($B$11*$B$14))</x:f>
        <x:v>0.002420755779814255</x:v>
      </x:c>
      <x:c r="E180" t="n">
        <x:f>SIN(C180*$B$7)</x:f>
        <x:v>0.6232221482511314</x:v>
      </x:c>
      <x:c r="F180" t="n">
        <x:f>COS(C180*$B$7)</x:f>
        <x:v>0.7820448541671026</x:v>
      </x:c>
      <x:c r="G180" t="n">
        <x:f>SIN(D180*$B$8)</x:f>
        <x:v>0.6600136074944922</x:v>
      </x:c>
      <x:c r="H180" t="n">
        <x:f>COS(D180*$B$8)</x:f>
        <x:v>-0.751253644198886</x:v>
      </x:c>
      <x:c r="I180" t="n">
        <x:f>$B$12*B180*$B$9*E180*G180-3*$B$11*$B$14*C180*F180*G180-3*$B$11*$B$14*D180*H180*E180</x:f>
        <x:v>90915616.362737</x:v>
      </x:c>
      <x:c r="J180" t="n">
        <x:f>IF(AND(I179&lt;0,I180&gt;=0),1,0)</x:f>
        <x:v>0</x:v>
      </x:c>
    </x:row>
    <x:row r="181">
      <x:c r="A181" t="n">
        <x:f>A180+1</x:f>
        <x:v>164</x:v>
      </x:c>
      <x:c r="B181" t="n">
        <x:f>10^(9*A181/299)</x:f>
        <x:v>86388.28442740453</x:v>
      </x:c>
      <x:c r="C181" t="n">
        <x:f>SQRT($B$12*B181/($B$10*$B$13))</x:f>
        <x:v>0.0008707277669045448</x:v>
      </x:c>
      <x:c r="D181" t="n">
        <x:f>SQRT($B$12*B181/($B$11*$B$14))</x:f>
        <x:v>0.0025061158584237997</x:v>
      </x:c>
      <x:c r="E181" t="n">
        <x:f>SIN(C181*$B$7)</x:f>
        <x:v>0.6415998624077983</x:v>
      </x:c>
      <x:c r="F181" t="n">
        <x:f>COS(C181*$B$7)</x:f>
        <x:v>0.7670395143395771</x:v>
      </x:c>
      <x:c r="G181" t="n">
        <x:f>SIN(D181*$B$8)</x:f>
        <x:v>0.5935613012098284</x:v>
      </x:c>
      <x:c r="H181" t="n">
        <x:f>COS(D181*$B$8)</x:f>
        <x:v>-0.8047887808028237</x:v>
      </x:c>
      <x:c r="I181" t="n">
        <x:f>$B$12*B181*$B$9*E181*G181-3*$B$11*$B$14*C181*F181*G181-3*$B$11*$B$14*D181*H181*E181</x:f>
        <x:v>115435538.07048741</x:v>
      </x:c>
      <x:c r="J181" t="n">
        <x:f>IF(AND(I180&lt;0,I181&gt;=0),1,0)</x:f>
        <x:v>0</x:v>
      </x:c>
    </x:row>
    <x:row r="182">
      <x:c r="A182" t="n">
        <x:f>A181+1</x:f>
        <x:v>165</x:v>
      </x:c>
      <x:c r="B182" t="n">
        <x:f>10^(9*A182/299)</x:f>
        <x:v>92588.10253973946</x:v>
      </x:c>
      <x:c r="C182" t="n">
        <x:f>SQRT($B$12*B182/($B$10*$B$13))</x:f>
        <x:v>0.0009014311493978363</x:v>
      </x:c>
      <x:c r="D182" t="n">
        <x:f>SQRT($B$12*B182/($B$11*$B$14))</x:f>
        <x:v>0.002594485882555722</x:v>
      </x:c>
      <x:c r="E182" t="n">
        <x:f>SIN(C182*$B$7)</x:f>
        <x:v>0.6602449966625741</x:v>
      </x:c>
      <x:c r="F182" t="n">
        <x:f>COS(C182*$B$7)</x:f>
        <x:v>0.7510502941761208</x:v>
      </x:c>
      <x:c r="G182" t="n">
        <x:f>SIN(D182*$B$8)</x:f>
        <x:v>0.5202184960836564</x:v>
      </x:c>
      <x:c r="H182" t="n">
        <x:f>COS(D182*$B$8)</x:f>
        <x:v>-0.8540332056380822</x:v>
      </x:c>
      <x:c r="I182" t="n">
        <x:f>$B$12*B182*$B$9*E182*G182-3*$B$11*$B$14*C182*F182*G182-3*$B$11*$B$14*D182*H182*E182</x:f>
        <x:v>141677594.22880712</x:v>
      </x:c>
      <x:c r="J182" t="n">
        <x:f>IF(AND(I181&lt;0,I182&gt;=0),1,0)</x:f>
        <x:v>0</x:v>
      </x:c>
    </x:row>
    <x:row r="183">
      <x:c r="A183" t="n">
        <x:f>A182+1</x:f>
        <x:v>166</x:v>
      </x:c>
      <x:c r="B183" t="n">
        <x:f>10^(9*A183/299)</x:f>
        <x:v>99232.86228832546</x:v>
      </x:c>
      <x:c r="C183" t="n">
        <x:f>SQRT($B$12*B183/($B$10*$B$13))</x:f>
        <x:v>0.0009332171868062013</x:v>
      </x:c>
      <x:c r="D183" t="n">
        <x:f>SQRT($B$12*B183/($B$11*$B$14))</x:f>
        <x:v>0.0026859719881484573</x:v>
      </x:c>
      <x:c r="E183" t="n">
        <x:f>SIN(C183*$B$7)</x:f>
        <x:v>0.6791278145946432</x:v>
      </x:c>
      <x:c r="F183" t="n">
        <x:f>COS(C183*$B$7)</x:f>
        <x:v>0.7340200347701035</x:v>
      </x:c>
      <x:c r="G183" t="n">
        <x:f>SIN(D183*$B$8)</x:f>
        <x:v>0.4400197487014857</x:v>
      </x:c>
      <x:c r="H183" t="n">
        <x:f>COS(D183*$B$8)</x:f>
        <x:v>-0.8979880961085628</x:v>
      </x:c>
      <x:c r="I183" t="n">
        <x:f>$B$12*B183*$B$9*E183*G183-3*$B$11*$B$14*C183*F183*G183-3*$B$11*$B$14*D183*H183*E183</x:f>
        <x:v>169356225.40050656</x:v>
      </x:c>
      <x:c r="J183" t="n">
        <x:f>IF(AND(I182&lt;0,I183&gt;=0),1,0)</x:f>
        <x:v>0</x:v>
      </x:c>
    </x:row>
    <x:row r="184">
      <x:c r="A184" t="n">
        <x:f>A183+1</x:f>
        <x:v>167</x:v>
      </x:c>
      <x:c r="B184" t="n">
        <x:f>10^(9*A184/299)</x:f>
        <x:v>106354.49574860113</x:v>
      </x:c>
      <x:c r="C184" t="n">
        <x:f>SQRT($B$12*B184/($B$10*$B$13))</x:f>
        <x:v>0.0009661240554336793</x:v>
      </x:c>
      <x:c r="D184" t="n">
        <x:f>SQRT($B$12*B184/($B$11*$B$14))</x:f>
        <x:v>0.0027806840536790745</x:v>
      </x:c>
      <x:c r="E184" t="n">
        <x:f>SIN(C184*$B$7)</x:f>
        <x:v>0.6982137084406099</x:v>
      </x:c>
      <x:c r="F184" t="n">
        <x:f>COS(C184*$B$7)</x:f>
        <x:v>0.7158893890438738</x:v>
      </x:c>
      <x:c r="G184" t="n">
        <x:f>SIN(D184*$B$8)</x:f>
        <x:v>0.35312444351786776</x:v>
      </x:c>
      <x:c r="H184" t="n">
        <x:f>COS(D184*$B$8)</x:f>
        <x:v>-0.9355763610685106</x:v>
      </x:c>
      <x:c r="I184" t="n">
        <x:f>$B$12*B184*$B$9*E184*G184-3*$B$11*$B$14*C184*F184*G184-3*$B$11*$B$14*D184*H184*E184</x:f>
        <x:v>198068362.68359706</x:v>
      </x:c>
      <x:c r="J184" t="n">
        <x:f>IF(AND(I183&lt;0,I184&gt;=0),1,0)</x:f>
        <x:v>0</x:v>
      </x:c>
    </x:row>
    <x:row r="185">
      <x:c r="A185" t="n">
        <x:f>A184+1</x:f>
        <x:v>168</x:v>
      </x:c>
      <x:c r="B185" t="n">
        <x:f>10^(9*A185/299)</x:f>
        <x:v>113987.22666160525</x:v>
      </x:c>
      <x:c r="C185" t="n">
        <x:f>SQRT($B$12*B185/($B$10*$B$13))</x:f>
        <x:v>0.0010001912777474968</x:v>
      </x:c>
      <x:c r="D185" t="n">
        <x:f>SQRT($B$12*B185/($B$11*$B$14))</x:f>
        <x:v>0.002878735832131739</x:v>
      </x:c>
      <x:c r="E185" t="n">
        <x:f>SIN(C185*$B$7)</x:f>
        <x:v>0.7174626940923997</x:v>
      </x:c>
      <x:c r="F185" t="n">
        <x:f>COS(C185*$B$7)</x:f>
        <x:v>0.6965969297848474</x:v>
      </x:c>
      <x:c r="G185" t="n">
        <x:f>SIN(D185*$B$8)</x:f>
        <x:v>0.2598403026915875</x:v>
      </x:c>
      <x:c r="H185" t="n">
        <x:f>COS(D185*$B$8)</x:f>
        <x:v>-0.9656516023375844</x:v>
      </x:c>
      <x:c r="I185" t="n">
        <x:f>$B$12*B185*$B$9*E185*G185-3*$B$11*$B$14*C185*F185*G185-3*$B$11*$B$14*D185*H185*E185</x:f>
        <x:v>227275314.79264575</x:v>
      </x:c>
      <x:c r="J185" t="n">
        <x:f>IF(AND(I184&lt;0,I185&gt;=0),1,0)</x:f>
        <x:v>0</x:v>
      </x:c>
    </x:row>
    <x:row r="186">
      <x:c r="A186" t="n">
        <x:f>A185+1</x:f>
        <x:v>169</x:v>
      </x:c>
      <x:c r="B186" t="n">
        <x:f>10^(9*A186/299)</x:f>
        <x:v>122167.7348996793</x:v>
      </x:c>
      <x:c r="C186" t="n">
        <x:f>SQRT($B$12*B186/($B$10*$B$13))</x:f>
        <x:v>0.0010354597698461333</x:v>
      </x:c>
      <x:c r="D186" t="n">
        <x:f>SQRT($B$12*B186/($B$11*$B$14))</x:f>
        <x:v>0.0029802450876195985</x:v>
      </x:c>
      <x:c r="E186" t="n">
        <x:f>SIN(C186*$B$7)</x:f>
        <x:v>0.7368288671647973</x:v>
      </x:c>
      <x:c r="F186" t="n">
        <x:f>COS(C186*$B$7)</x:f>
        <x:v>0.6760793004615963</x:v>
      </x:c>
      <x:c r="G186" t="n">
        <x:f>SIN(D186*$B$8)</x:f>
        <x:v>0.1606484154478757</x:v>
      </x:c>
      <x:c r="H186" t="n">
        <x:f>COS(D186*$B$8)</x:f>
        <x:v>-0.987011695277258</x:v>
      </x:c>
      <x:c r="I186" t="n">
        <x:f>$B$12*B186*$B$9*E186*G186-3*$B$11*$B$14*C186*F186*G186-3*$B$11*$B$14*D186*H186*E186</x:f>
        <x:v>256285445.13498035</x:v>
      </x:c>
      <x:c r="J186" t="n">
        <x:f>IF(AND(I185&lt;0,I186&gt;=0),1,0)</x:f>
        <x:v>0</x:v>
      </x:c>
    </x:row>
    <x:row r="187">
      <x:c r="A187" t="n">
        <x:f>A186+1</x:f>
        <x:v>170</x:v>
      </x:c>
      <x:c r="B187" t="n">
        <x:f>10^(9*A187/299)</x:f>
        <x:v>130935.33273536095</x:v>
      </x:c>
      <x:c r="C187" t="n">
        <x:f>SQRT($B$12*B187/($B$10*$B$13))</x:f>
        <x:v>0.001071971890601192</x:v>
      </x:c>
      <x:c r="D187" t="n">
        <x:f>SQRT($B$12*B187/($B$11*$B$14))</x:f>
        <x:v>0.0030853337368241997</x:v>
      </x:c>
      <x:c r="E187" t="n">
        <x:f>SIN(C187*$B$7)</x:f>
        <x:v>0.7562598191396509</x:v>
      </x:c>
      <x:c r="F187" t="n">
        <x:f>COS(C187*$B$7)</x:f>
        <x:v>0.6542714161224396</x:v>
      </x:c>
      <x:c r="G187" t="n">
        <x:f>SIN(D187*$B$8)</x:f>
        <x:v>0.05622924426697754</x:v>
      </x:c>
      <x:c r="H187" t="n">
        <x:f>COS(D187*$B$8)</x:f>
        <x:v>-0.9984178844998544</x:v>
      </x:c>
      <x:c r="I187" t="n">
        <x:f>$B$12*B187*$B$9*E187*G187-3*$B$11*$B$14*C187*F187*G187-3*$B$11*$B$14*D187*H187*E187</x:f>
        <x:v>284239039.64159584</x:v>
      </x:c>
      <x:c r="J187" t="n">
        <x:f>IF(AND(I186&lt;0,I187&gt;=0),1,0)</x:f>
        <x:v>0</x:v>
      </x:c>
    </x:row>
    <x:row r="188">
      <x:c r="A188" t="n">
        <x:f>A187+1</x:f>
        <x:v>171</x:v>
      </x:c>
      <x:c r="B188" t="n">
        <x:f>10^(9*A188/299)</x:f>
        <x:v>140332.15376054848</x:v>
      </x:c>
      <x:c r="C188" t="n">
        <x:f>SQRT($B$12*B188/($B$10*$B$13))</x:f>
        <x:v>0.001109771492532107</x:v>
      </x:c>
      <x:c r="D188" t="n">
        <x:f>SQRT($B$12*B188/($B$11*$B$14))</x:f>
        <x:v>0.0031941279954223155</x:v>
      </x:c>
      <x:c r="E188" t="n">
        <x:f>SIN(C188*$B$7)</x:f>
        <x:v>0.7756960130523473</x:v>
      </x:c>
      <x:c r="F188" t="n">
        <x:f>COS(C188*$B$7)</x:f>
        <x:v>0.6311067226188394</x:v>
      </x:c>
      <x:c r="G188" t="n">
        <x:f>SIN(D188*$B$8)</x:f>
        <x:v>-0.052511179241397525</x:v>
      </x:c>
      <x:c r="H188" t="n">
        <x:f>COS(D188*$B$8)</x:f>
        <x:v>-0.9986203362913645</x:v>
      </x:c>
      <x:c r="I188" t="n">
        <x:f>$B$12*B188*$B$9*E188*G188-3*$B$11*$B$14*C188*F188*G188-3*$B$11*$B$14*D188*H188*E188</x:f>
        <x:v>310097216.2098529</x:v>
      </x:c>
      <x:c r="J188" t="n">
        <x:f>IF(AND(I187&lt;0,I188&gt;=0),1,0)</x:f>
        <x:v>0</x:v>
      </x:c>
    </x:row>
    <x:row r="189">
      <x:c r="A189" t="n">
        <x:f>A188+1</x:f>
        <x:v>172</x:v>
      </x:c>
      <x:c r="B189" t="n">
        <x:f>10^(9*A189/299)</x:f>
        <x:v>150403.35536380252</x:v>
      </x:c>
      <x:c r="C189" t="n">
        <x:f>SQRT($B$12*B189/($B$10*$B$13))</x:f>
        <x:v>0.0011489039744747675</x:v>
      </x:c>
      <x:c r="D189" t="n">
        <x:f>SQRT($B$12*B189/($B$11*$B$14))</x:f>
        <x:v>0.003306758529676009</x:v>
      </x:c>
      <x:c r="E189" t="n">
        <x:f>SIN(C189*$B$7)</x:f>
        <x:v>0.7950701187852939</x:v>
      </x:c>
      <x:c r="F189" t="n">
        <x:f>COS(C189*$B$7)</x:f>
        <x:v>0.6065175234193474</x:v>
      </x:c>
      <x:c r="G189" t="n">
        <x:f>SIN(D189*$B$8)</x:f>
        <x:v>-0.16441595194619574</x:v>
      </x:c>
      <x:c r="H189" t="n">
        <x:f>COS(D189*$B$8)</x:f>
        <x:v>-0.9863910962420668</x:v>
      </x:c>
      <x:c r="I189" t="n">
        <x:f>$B$12*B189*$B$9*E189*G189-3*$B$11*$B$14*C189*F189*G189-3*$B$11*$B$14*D189*H189*E189</x:f>
        <x:v>332637231.73985314</x:v>
      </x:c>
      <x:c r="J189" t="n">
        <x:f>IF(AND(I188&lt;0,I189&gt;=0),1,0)</x:f>
        <x:v>0</x:v>
      </x:c>
    </x:row>
    <x:row r="190">
      <x:c r="A190" t="n">
        <x:f>A189+1</x:f>
        <x:v>173</x:v>
      </x:c>
      <x:c r="B190" t="n">
        <x:f>10^(9*A190/299)</x:f>
        <x:v>161197.33573881586</x:v>
      </x:c>
      <x:c r="C190" t="n">
        <x:f>SQRT($B$12*B190/($B$10*$B$13))</x:f>
        <x:v>0.001189416336107344</x:v>
      </x:c>
      <x:c r="D190" t="n">
        <x:f>SQRT($B$12*B190/($B$11*$B$14))</x:f>
        <x:v>0.003423360613368064</x:v>
      </x:c>
      <x:c r="E190" t="n">
        <x:f>SIN(C190*$B$7)</x:f>
        <x:v>0.8143063088008251</x:v>
      </x:c>
      <x:c r="F190" t="n">
        <x:f>COS(C190*$B$7)</x:f>
        <x:v>0.5804353843858723</x:v>
      </x:c>
      <x:c r="G190" t="n">
        <x:f>SIN(D190*$B$8)</x:f>
        <x:v>-0.278054323138796</x:v>
      </x:c>
      <x:c r="H190" t="n">
        <x:f>COS(D190*$B$8)</x:f>
        <x:v>-0.9605653509177947</x:v>
      </x:c>
      <x:c r="I190" t="n">
        <x:f>$B$12*B190*$B$9*E190*G190-3*$B$11*$B$14*C190*F190*G190-3*$B$11*$B$14*D190*H190*E190</x:f>
        <x:v>350457080.0804024</x:v>
      </x:c>
      <x:c r="J190" t="n">
        <x:f>IF(AND(I189&lt;0,I190&gt;=0),1,0)</x:f>
        <x:v>0</x:v>
      </x:c>
    </x:row>
    <x:row r="191">
      <x:c r="A191" t="n">
        <x:f>A190+1</x:f>
        <x:v>174</x:v>
      </x:c>
      <x:c r="B191" t="n">
        <x:f>10^(9*A191/299)</x:f>
        <x:v>172765.96646690345</x:v>
      </x:c>
      <x:c r="C191" t="n">
        <x:f>SQRT($B$12*B191/($B$10*$B$13))</x:f>
        <x:v>0.0012313572343987803</x:v>
      </x:c>
      <x:c r="D191" t="n">
        <x:f>SQRT($B$12*B191/($B$11*$B$14))</x:f>
        <x:v>0.0035440742902712046</x:v>
      </x:c>
      <x:c r="E191" t="n">
        <x:f>SIN(C191*$B$7)</x:f>
        <x:v>0.8333195161143341</x:v>
      </x:c>
      <x:c r="F191" t="n">
        <x:f>COS(C191*$B$7)</x:f>
        <x:v>0.5527916280688159</x:v>
      </x:c>
      <x:c r="G191" t="n">
        <x:f>SIN(D191*$B$8)</x:f>
        <x:v>-0.391702879591228</x:v>
      </x:c>
      <x:c r="H191" t="n">
        <x:f>COS(D191*$B$8)</x:f>
        <x:v>-0.9200917639670186</x:v>
      </x:c>
      <x:c r="I191" t="n">
        <x:f>$B$12*B191*$B$9*E191*G191-3*$B$11*$B$14*C191*F191*G191-3*$B$11*$B$14*D191*H191*E191</x:f>
        <x:v>361992803.60106754</x:v>
      </x:c>
      <x:c r="J191" t="n">
        <x:f>IF(AND(I190&lt;0,I191&gt;=0),1,0)</x:f>
        <x:v>0</x:v>
      </x:c>
    </x:row>
    <x:row r="192">
      <x:c r="A192" t="n">
        <x:f>A191+1</x:f>
        <x:v>175</x:v>
      </x:c>
      <x:c r="B192" t="n">
        <x:f>10^(9*A192/299)</x:f>
        <x:v>185164.8417912154</x:v>
      </x:c>
      <x:c r="C192" t="n">
        <x:f>SQRT($B$12*B192/($B$10*$B$13))</x:f>
        <x:v>0.0012747770420477689</x:v>
      </x:c>
      <x:c r="D192" t="n">
        <x:f>SQRT($B$12*B192/($B$11*$B$14))</x:f>
        <x:v>0.0036690445423462944</x:v>
      </x:c>
      <x:c r="E192" t="n">
        <x:f>SIN(C192*$B$7)</x:f>
        <x:v>0.8520146575145306</x:v>
      </x:c>
      <x:c r="F192" t="n">
        <x:f>COS(C192*$B$7)</x:f>
        <x:v>0.523517930333238</x:v>
      </x:c>
      <x:c r="G192" t="n">
        <x:f>SIN(D192*$B$8)</x:f>
        <x:v>-0.5033331740061497</x:v>
      </x:c>
      <x:c r="H192" t="n">
        <x:f>COS(D192*$B$8)</x:f>
        <x:v>-0.8640924232655295</x:v>
      </x:c>
      <x:c r="I192" t="n">
        <x:f>$B$12*B192*$B$9*E192*G192-3*$B$11*$B$14*C192*F192*G192-3*$B$11*$B$14*D192*H192*E192</x:f>
        <x:v>365552399.48308975</x:v>
      </x:c>
      <x:c r="J192" t="n">
        <x:f>IF(AND(I191&lt;0,I192&gt;=0),1,0)</x:f>
        <x:v>0</x:v>
      </x:c>
    </x:row>
    <x:row r="193">
      <x:c r="A193" t="n">
        <x:f>A192+1</x:f>
        <x:v>176</x:v>
      </x:c>
      <x:c r="B193" t="n">
        <x:f>10^(9*A193/299)</x:f>
        <x:v>198453.54578058032</x:v>
      </x:c>
      <x:c r="C193" t="n">
        <x:f>SQRT($B$12*B193/($B$10*$B$13))</x:f>
        <x:v>0.0013197279079823696</x:v>
      </x:c>
      <x:c r="D193" t="n">
        <x:f>SQRT($B$12*B193/($B$11*$B$14))</x:f>
        <x:v>0.0037984214638714523</x:v>
      </x:c>
      <x:c r="E193" t="n">
        <x:f>SIN(C193*$B$7)</x:f>
        <x:v>0.8702858265234382</x:v>
      </x:c>
      <x:c r="F193" t="n">
        <x:f>COS(C193*$B$7)</x:f>
        <x:v>0.49254703344189976</x:v>
      </x:c>
      <x:c r="G193" t="n">
        <x:f>SIN(D193*$B$8)</x:f>
        <x:v>-0.6106085580451337</x:v>
      </x:c>
      <x:c r="H193" t="n">
        <x:f>COS(D193*$B$8)</x:f>
        <x:v>-0.7919325658425992</x:v>
      </x:c>
      <x:c r="I193" t="n">
        <x:f>$B$12*B193*$B$9*E193*G193-3*$B$11*$B$14*C193*F193*G193-3*$B$11*$B$14*D193*H193*E193</x:f>
        <x:v>359370497.1692366</x:v>
      </x:c>
      <x:c r="J193" t="n">
        <x:f>IF(AND(I192&lt;0,I193&gt;=0),1,0)</x:f>
        <x:v>0</x:v>
      </x:c>
    </x:row>
    <x:row r="194">
      <x:c r="A194" t="n">
        <x:f>A193+1</x:f>
        <x:v>177</x:v>
      </x:c>
      <x:c r="B194" t="n">
        <x:f>10^(9*A194/299)</x:f>
        <x:v>212695.9386668692</x:v>
      </x:c>
      <x:c r="C194" t="n">
        <x:f>SQRT($B$12*B194/($B$10*$B$13))</x:f>
        <x:v>0.0013662638199929686</x:v>
      </x:c>
      <x:c r="D194" t="n">
        <x:f>SQRT($B$12*B194/($B$11*$B$14))</x:f>
        <x:v>0.00393236044171131</x:v>
      </x:c>
      <x:c r="E194" t="n">
        <x:f>SIN(C194*$B$7)</x:f>
        <x:v>0.8880154624015568</x:v>
      </x:c>
      <x:c r="F194" t="n">
        <x:f>COS(C194*$B$7)</x:f>
        <x:v>0.4598135910733274</x:v>
      </x:c>
      <x:c r="G194" t="n">
        <x:f>SIN(D194*$B$8)</x:f>
        <x:v>-0.7108934670611371</x:v>
      </x:c>
      <x:c r="H194" t="n">
        <x:f>COS(D194*$B$8)</x:f>
        <x:v>-0.7032997074432749</x:v>
      </x:c>
      <x:c r="I194" t="n">
        <x:f>$B$12*B194*$B$9*E194*G194-3*$B$11*$B$14*C194*F194*G194-3*$B$11*$B$14*D194*H194*E194</x:f>
        <x:v>341687989.3000752</x:v>
      </x:c>
      <x:c r="J194" t="n">
        <x:f>IF(AND(I193&lt;0,I194&gt;=0),1,0)</x:f>
        <x:v>0</x:v>
      </x:c>
    </x:row>
    <x:row r="195">
      <x:c r="A195" t="n">
        <x:f>A194+1</x:f>
        <x:v>178</x:v>
      </x:c>
      <x:c r="B195" t="n">
        <x:f>10^(9*A195/299)</x:f>
        <x:v>227960.4637318982</x:v>
      </x:c>
      <x:c r="C195" t="n">
        <x:f>SQRT($B$12*B195/($B$10*$B$13))</x:f>
        <x:v>0.0014144406695737741</x:v>
      </x:c>
      <x:c r="D195" t="n">
        <x:f>SQRT($B$12*B195/($B$11*$B$14))</x:f>
        <x:v>0.004071022341942856</x:v>
      </x:c>
      <x:c r="E195" t="n">
        <x:f>SIN(C195*$B$7)</x:f>
        <x:v>0.905073503696385</x:v>
      </x:c>
      <x:c r="F195" t="n">
        <x:f>COS(C195*$B$7)</x:f>
        <x:v>0.4252551621165224</x:v>
      </x:c>
      <x:c r="G195" t="n">
        <x:f>SIN(D195*$B$8)</x:f>
        <x:v>-0.8012788588536327</x:v>
      </x:c>
      <x:c r="H195" t="n">
        <x:f>COS(D195*$B$8)</x:f>
        <x:v>-0.5982910582268635</x:v>
      </x:c>
      <x:c r="I195" t="n">
        <x:f>$B$12*B195*$B$9*E195*G195-3*$B$11*$B$14*C195*F195*G195-3*$B$11*$B$14*D195*H195*E195</x:f>
        <x:v>310860350.3166394</x:v>
      </x:c>
      <x:c r="J195" t="n">
        <x:f>IF(AND(I194&lt;0,I195&gt;=0),1,0)</x:f>
        <x:v>0</x:v>
      </x:c>
    </x:row>
    <x:row r="196">
      <x:c r="A196" t="n">
        <x:f>A195+1</x:f>
        <x:v>179</x:v>
      </x:c>
      <x:c r="B196" t="n">
        <x:f>10^(9*A196/299)</x:f>
        <x:v>244320.47621864866</x:v>
      </x:c>
      <x:c r="C196" t="n">
        <x:f>SQRT($B$12*B196/($B$10*$B$13))</x:f>
        <x:v>0.001464316319050738</x:v>
      </x:c>
      <x:c r="D196" t="n">
        <x:f>SQRT($B$12*B196/($B$11*$B$14))</x:f>
        <x:v>0.00421457370306203</x:v>
      </x:c>
      <x:c r="E196" t="n">
        <x:f>SIN(C196*$B$7)</x:f>
        <x:v>0.921316537463943</x:v>
      </x:c>
      <x:c r="F196" t="n">
        <x:f>COS(C196*$B$7)</x:f>
        <x:v>0.3888133714205965</x:v>
      </x:c>
      <x:c r="G196" t="n">
        <x:f>SIN(D196*$B$8)</x:f>
        <x:v>-0.8786278785477061</x:v>
      </x:c>
      <x:c r="H196" t="n">
        <x:f>COS(D196*$B$8)</x:f>
        <x:v>-0.4775071214534475</x:v>
      </x:c>
      <x:c r="I196" t="n">
        <x:f>$B$12*B196*$B$9*E196*G196-3*$B$11*$B$14*C196*F196*G196-3*$B$11*$B$14*D196*H196*E196</x:f>
        <x:v>265497272.1643749</x:v>
      </x:c>
      <x:c r="J196" t="n">
        <x:f>IF(AND(I195&lt;0,I196&gt;=0),1,0)</x:f>
        <x:v>0</x:v>
      </x:c>
    </x:row>
    <x:row r="197">
      <x:c r="A197" t="n">
        <x:f>A196+1</x:f>
        <x:v>180</x:v>
      </x:c>
      <x:c r="B197" t="n">
        <x:f>10^(9*A197/299)</x:f>
        <x:v>261854.59584742328</x:v>
      </x:c>
      <x:c r="C197" t="n">
        <x:f>SQRT($B$12*B197/($B$10*$B$13))</x:f>
        <x:v>0.0015159506710765347</x:v>
      </x:c>
      <x:c r="D197" t="n">
        <x:f>SQRT($B$12*B197/($B$11*$B$14))</x:f>
        <x:v>0.004363186936003149</x:v>
      </x:c>
      <x:c r="E197" t="n">
        <x:f>SIN(C197*$B$7)</x:f>
        <x:v>0.9365869584270106</x:v>
      </x:c>
      <x:c r="F197" t="n">
        <x:f>COS(C197*$B$7)</x:f>
        <x:v>0.3504352569369143</x:v>
      </x:c>
      <x:c r="G197" t="n">
        <x:f>SIN(D197*$B$8)</x:f>
        <x:v>-0.939646030985492</x:v>
      </x:c>
      <x:c r="H197" t="n">
        <x:f>COS(D197*$B$8)</x:f>
        <x:v>-0.3421481206337568</x:v>
      </x:c>
      <x:c r="I197" t="n">
        <x:f>$B$12*B197*$B$9*E197*G197-3*$B$11*$B$14*C197*F197*G197-3*$B$11*$B$14*D197*H197*E197</x:f>
        <x:v>204634251.65002495</x:v>
      </x:c>
      <x:c r="J197" t="n">
        <x:f>IF(AND(I196&lt;0,I197&gt;=0),1,0)</x:f>
        <x:v>0</x:v>
      </x:c>
    </x:row>
    <x:row r="198">
      <x:c r="A198" t="n">
        <x:f>A197+1</x:f>
        <x:v>181</x:v>
      </x:c>
      <x:c r="B198" t="n">
        <x:f>10^(9*A198/299)</x:f>
        <x:v>280647.0846309839</x:v>
      </x:c>
      <x:c r="C198" t="n">
        <x:f>SQRT($B$12*B198/($B$10*$B$13))</x:f>
        <x:v>0.0015694057405760337</x:v>
      </x:c>
      <x:c r="D198" t="n">
        <x:f>SQRT($B$12*B198/($B$11*$B$14))</x:f>
        <x:v>0.0045170405312113145</x:v>
      </x:c>
      <x:c r="E198" t="n">
        <x:f>SIN(C198*$B$7)</x:f>
        <x:v>0.9507121560394091</x:v>
      </x:c>
      <x:c r="F198" t="n">
        <x:f>COS(C198*$B$7)</x:f>
        <x:v>0.3100748238069293</x:v>
      </x:c>
      <x:c r="G198" t="n">
        <x:f>SIN(D198*$B$8)</x:f>
        <x:v>-0.9809800922041614</x:v>
      </x:c>
      <x:c r="H198" t="n">
        <x:f>COS(D198*$B$8)</x:f>
        <x:v>-0.19410836844174176</x:v>
      </x:c>
      <x:c r="I198" t="n">
        <x:f>$B$12*B198*$B$9*E198*G198-3*$B$11*$B$14*C198*F198*G198-3*$B$11*$B$14*D198*H198*E198</x:f>
        <x:v>127933632.31532004</x:v>
      </x:c>
      <x:c r="J198" t="n">
        <x:f>IF(AND(I197&lt;0,I198&gt;=0),1,0)</x:f>
        <x:v>0</x:v>
      </x:c>
    </x:row>
    <x:row r="199">
      <x:c r="A199" t="n">
        <x:f>A198+1</x:f>
        <x:v>182</x:v>
      </x:c>
      <x:c r="B199" t="n">
        <x:f>10^(9*A199/299)</x:f>
        <x:v>300788.2518043102</x:v>
      </x:c>
      <x:c r="C199" t="n">
        <x:f>SQRT($B$12*B199/($B$10*$B$13))</x:f>
        <x:v>0.0016247457292287183</x:v>
      </x:c>
      <x:c r="D199" t="n">
        <x:f>SQRT($B$12*B199/($B$11*$B$14))</x:f>
        <x:v>0.004676319273016604</x:v>
      </x:c>
      <x:c r="E199" t="n">
        <x:f>SIN(C199*$B$7)</x:f>
        <x:v>0.9635037517755818</x:v>
      </x:c>
      <x:c r="F199" t="n">
        <x:f>COS(C199*$B$7)</x:f>
        <x:v>0.26769482683529416</x:v>
      </x:c>
      <x:c r="G199" t="n">
        <x:f>SIN(D199*$B$8)</x:f>
        <x:v>-0.9993495586297527</x:v>
      </x:c>
      <x:c r="H199" t="n">
        <x:f>COS(D199*$B$8)</x:f>
        <x:v>-0.03606188661895682</x:v>
      </x:c>
      <x:c r="I199" t="n">
        <x:f>$B$12*B199*$B$9*E199*G199-3*$B$11*$B$14*C199*F199*G199-3*$B$11*$B$14*D199*H199*E199</x:f>
        <x:v>35908109.03105782</x:v>
      </x:c>
      <x:c r="J199" t="n">
        <x:f>IF(AND(I198&lt;0,I199&gt;=0),1,0)</x:f>
        <x:v>0</x:v>
      </x:c>
    </x:row>
    <x:row r="200">
      <x:c r="A200" t="n">
        <x:f>A199+1</x:f>
        <x:v>183</x:v>
      </x:c>
      <x:c r="B200" t="n">
        <x:f>10^(9*A200/299)</x:f>
        <x:v>322374.8878149027</x:v>
      </x:c>
      <x:c r="C200" t="n">
        <x:f>SQRT($B$12*B200/($B$10*$B$13))</x:f>
        <x:v>0.0016820371025774677</x:v>
      </x:c>
      <x:c r="D200" t="n">
        <x:f>SQRT($B$12*B200/($B$11*$B$14))</x:f>
        <x:v>0.004841214461567447</x:v>
      </x:c>
      <x:c r="E200" t="n">
        <x:f>SIN(C200*$B$7)</x:f>
        <x:v>0.9747569140337409</x:v>
      </x:c>
      <x:c r="F200" t="n">
        <x:f>COS(C200*$B$7)</x:f>
        <x:v>0.22326880333673652</x:v>
      </x:c>
      <x:c r="G200" t="n">
        <x:f>SIN(D200*$B$8)</x:f>
        <x:v>-0.9917134674926585</x:v>
      </x:c>
      <x:c r="H200" t="n">
        <x:f>COS(D200*$B$8)</x:f>
        <x:v>0.12846944537004787</x:v>
      </x:c>
      <x:c r="I200" t="n">
        <x:f>$B$12*B200*$B$9*E200*G200-3*$B$11*$B$14*C200*F200*G200-3*$B$11*$B$14*D200*H200*E200</x:f>
        <x:v>-69846304.88942307</x:v>
      </x:c>
      <x:c r="J200" t="n">
        <x:f>IF(AND(I199&lt;0,I200&gt;=0),1,0)</x:f>
        <x:v>0</x:v>
      </x:c>
    </x:row>
    <x:row r="201">
      <x:c r="A201" t="n">
        <x:f>A200+1</x:f>
        <x:v>184</x:v>
      </x:c>
      <x:c r="B201" t="n">
        <x:f>10^(9*A201/299)</x:f>
        <x:v>345510.7294592218</x:v>
      </x:c>
      <x:c r="C201" t="n">
        <x:f>SQRT($B$12*B201/($B$10*$B$13))</x:f>
        <x:v>0.0017413486698563449</x:v>
      </x:c>
      <x:c r="D201" t="n">
        <x:f>SQRT($B$12*B201/($B$11*$B$14))</x:f>
        <x:v>0.005011924142589781</x:v>
      </x:c>
      <x:c r="E201" t="n">
        <x:f>SIN(C201*$B$7)</x:f>
        <x:v>0.9842497839035869</x:v>
      </x:c>
      <x:c r="F201" t="n">
        <x:f>COS(C201*$B$7)</x:f>
        <x:v>0.1767833784204346</x:v>
      </x:c>
      <x:c r="G201" t="n">
        <x:f>SIN(D201*$B$8)</x:f>
        <x:v>-0.9554737548701041</x:v>
      </x:c>
      <x:c r="H201" t="n">
        <x:f>COS(D201*$B$8)</x:f>
        <x:v>0.2950760982431891</x:v>
      </x:c>
      <x:c r="I201" t="n">
        <x:f>$B$12*B201*$B$9*E201*G201-3*$B$11*$B$14*C201*F201*G201-3*$B$11*$B$14*D201*H201*E201</x:f>
        <x:v>-186428364.44591063</x:v>
      </x:c>
      <x:c r="J201" t="n">
        <x:f>IF(AND(I200&lt;0,I201&gt;=0),1,0)</x:f>
        <x:v>0</x:v>
      </x:c>
    </x:row>
    <x:row r="202">
      <x:c r="A202" t="n">
        <x:f>A201+1</x:f>
        <x:v>185</x:v>
      </x:c>
      <x:c r="B202" t="n">
        <x:f>10^(9*A202/299)</x:f>
        <x:v>370306.9584005141</x:v>
      </x:c>
      <x:c r="C202" t="n">
        <x:f>SQRT($B$12*B202/($B$10*$B$13))</x:f>
        <x:v>0.0018027516666332313</x:v>
      </x:c>
      <x:c r="D202" t="n">
        <x:f>SQRT($B$12*B202/($B$11*$B$14))</x:f>
        <x:v>0.0051886533452478725</x:v>
      </x:c>
      <x:c r="E202" t="n">
        <x:f>SIN(C202*$B$7)</x:f>
        <x:v>0.9917430517764871</x:v>
      </x:c>
      <x:c r="F202" t="n">
        <x:f>COS(C202*$B$7)</x:f>
        <x:v>0.12824086420895595</x:v>
      </x:c>
      <x:c r="G202" t="n">
        <x:f>SIN(D202*$B$8)</x:f>
        <x:v>-0.8887137682942307</x:v>
      </x:c>
      <x:c r="H202" t="n">
        <x:f>COS(D202*$B$8)</x:f>
        <x:v>0.45846247179487715</x:v>
      </x:c>
      <x:c r="I202" t="n">
        <x:f>$B$12*B202*$B$9*E202*G202-3*$B$11*$B$14*C202*F202*G202-3*$B$11*$B$14*D202*H202*E202</x:f>
        <x:v>-309450000.31235117</x:v>
      </x:c>
      <x:c r="J202" t="n">
        <x:f>IF(AND(I201&lt;0,I202&gt;=0),1,0)</x:f>
        <x:v>0</x:v>
      </x:c>
    </x:row>
    <x:row r="203">
      <x:c r="A203" t="n">
        <x:f>A202+1</x:f>
        <x:v>186</x:v>
      </x:c>
      <x:c r="B203" t="n">
        <x:f>10^(9*A203/299)</x:f>
        <x:v>396882.7354637166</x:v>
      </x:c>
      <x:c r="C203" t="n">
        <x:f>SQRT($B$12*B203/($B$10*$B$13))</x:f>
        <x:v>0.0018663198403666048</x:v>
      </x:c>
      <x:c r="D203" t="n">
        <x:f>SQRT($B$12*B203/($B$11*$B$14))</x:f>
        <x:v>0.0053716143283925755</x:v>
      </x:c>
      <x:c r="E203" t="n">
        <x:f>SIN(C203*$B$7)</x:f>
        <x:v>0.9969797324286509</x:v>
      </x:c>
      <x:c r="F203" t="n">
        <x:f>COS(C203*$B$7)</x:f>
        <x:v>0.07766217307348358</x:v>
      </x:c>
      <x:c r="G203" t="n">
        <x:f>SIN(D203*$B$8)</x:f>
        <x:v>-0.790466946609131</x:v>
      </x:c>
      <x:c r="H203" t="n">
        <x:f>COS(D203*$B$8)</x:f>
        <x:v>0.612504699017434</x:v>
      </x:c>
      <x:c r="I203" t="n">
        <x:f>$B$12*B203*$B$9*E203*G203-3*$B$11*$B$14*C203*F203*G203-3*$B$11*$B$14*D203*H203*E203</x:f>
        <x:v>-432933617.88491577</x:v>
      </x:c>
      <x:c r="J203" t="n">
        <x:f>IF(AND(I202&lt;0,I203&gt;=0),1,0)</x:f>
        <x:v>0</x:v>
      </x:c>
    </x:row>
    <x:row r="204">
      <x:c r="A204" t="n">
        <x:f>A203+1</x:f>
        <x:v>187</x:v>
      </x:c>
      <x:c r="B204" t="n">
        <x:f>10^(9*A204/299)</x:f>
        <x:v>425365.7732750383</x:v>
      </x:c>
      <x:c r="C204" t="n">
        <x:f>SQRT($B$12*B204/($B$10*$B$13))</x:f>
        <x:v>0.001932129538979187</x:v>
      </x:c>
      <x:c r="D204" t="n">
        <x:f>SQRT($B$12*B204/($B$11*$B$14))</x:f>
        <x:v>0.0055610268354926995</x:v>
      </x:c>
      <x:c r="E204" t="n">
        <x:f>SIN(C204*$B$7)</x:f>
        <x:v>0.9996851948319088</x:v>
      </x:c>
      <x:c r="F204" t="n">
        <x:f>COS(C204*$B$7)</x:f>
        <x:v>0.02509006245286214</x:v>
      </x:c>
      <x:c r="G204" t="n">
        <x:f>SIN(D204*$B$8)</x:f>
        <x:v>-0.6610058860557928</x:v>
      </x:c>
      <x:c r="H204" t="n">
        <x:f>COS(D204*$B$8)</x:f>
        <x:v>0.7503807157700658</x:v>
      </x:c>
      <x:c r="I204" t="n">
        <x:f>$B$12*B204*$B$9*E204*G204-3*$B$11*$B$14*C204*F204*G204-3*$B$11*$B$14*D204*H204*E204</x:f>
        <x:v>-549335474.4269837</x:v>
      </x:c>
      <x:c r="J204" t="n">
        <x:f>IF(AND(I203&lt;0,I204&gt;=0),1,0)</x:f>
        <x:v>0</x:v>
      </x:c>
    </x:row>
    <x:row r="205">
      <x:c r="A205" t="n">
        <x:f>A204+1</x:f>
        <x:v>188</x:v>
      </x:c>
      <x:c r="B205" t="n">
        <x:f>10^(9*A205/299)</x:f>
        <x:v>455892.94999810593</x:v>
      </x:c>
      <x:c r="C205" t="n">
        <x:f>SQRT($B$12*B205/($B$10*$B$13))</x:f>
        <x:v>0.002000259802554863</x:v>
      </x:c>
      <x:c r="D205" t="n">
        <x:f>SQRT($B$12*B205/($B$11*$B$14))</x:f>
        <x:v>0.0057571183585557436</x:v>
      </x:c>
      <x:c r="E205" t="n">
        <x:f>SIN(C205*$B$7)</x:f>
        <x:v>0.9995675125632054</x:v>
      </x:c>
      <x:c r="F205" t="n">
        <x:f>COS(C205*$B$7)</x:f>
        <x:v>-0.029407275089783066</x:v>
      </x:c>
      <x:c r="G205" t="n">
        <x:f>SIN(D205*$B$8)</x:f>
        <x:v>-0.5021359754020773</x:v>
      </x:c>
      <x:c r="H205" t="n">
        <x:f>COS(D205*$B$8)</x:f>
        <x:v>0.8647886806654007</x:v>
      </x:c>
      <x:c r="I205" t="n">
        <x:f>$B$12*B205*$B$9*E205*G205-3*$B$11*$B$14*C205*F205*G205-3*$B$11*$B$14*D205*H205*E205</x:f>
        <x:v>-649748292.2684239</x:v>
      </x:c>
      <x:c r="J205" t="n">
        <x:f>IF(AND(I204&lt;0,I205&gt;=0),1,0)</x:f>
        <x:v>0</x:v>
      </x:c>
    </x:row>
    <x:row r="206">
      <x:c r="A206" t="n">
        <x:f>A205+1</x:f>
        <x:v>189</x:v>
      </x:c>
      <x:c r="B206" t="n">
        <x:f>10^(9*A206/299)</x:f>
        <x:v>488610.9671160326</x:v>
      </x:c>
      <x:c r="C206" t="n">
        <x:f>SQRT($B$12*B206/($B$10*$B$13))</x:f>
        <x:v>0.0020707924582689793</x:v>
      </x:c>
      <x:c r="D206" t="n">
        <x:f>SQRT($B$12*B206/($B$11*$B$14))</x:f>
        <x:v>0.005960124411354874</x:v>
      </x:c>
      <x:c r="E206" t="n">
        <x:f>SIN(C206*$B$7)</x:f>
        <x:v>0.9963182112772025</x:v>
      </x:c>
      <x:c r="F206" t="n">
        <x:f>COS(C206*$B$7)</x:f>
        <x:v>-0.08573226858887856</x:v>
      </x:c>
      <x:c r="G206" t="n">
        <x:f>SIN(D206*$B$8)</x:f>
        <x:v>-0.3174705932080066</x:v>
      </x:c>
      <x:c r="H206" t="n">
        <x:f>COS(D206*$B$8)</x:f>
        <x:v>0.948268117384612</x:v>
      </x:c>
      <x:c r="I206" t="n">
        <x:f>$B$12*B206*$B$9*E206*G206-3*$B$11*$B$14*C206*F206*G206-3*$B$11*$B$14*D206*H206*E206</x:f>
        <x:v>-724336831.3448534</x:v>
      </x:c>
      <x:c r="J206" t="n">
        <x:f>IF(AND(I205&lt;0,I206&gt;=0),1,0)</x:f>
        <x:v>0</x:v>
      </x:c>
    </x:row>
    <x:row r="207">
      <x:c r="A207" t="n">
        <x:f>A206+1</x:f>
        <x:v>190</x:v>
      </x:c>
      <x:c r="B207" t="n">
        <x:f>10^(9*A207/299)</x:f>
        <x:v>523677.05442046555</x:v>
      </x:c>
      <x:c r="C207" t="n">
        <x:f>SQRT($B$12*B207/($B$10*$B$13))</x:f>
        <x:v>0.0021438122186660633</x:v>
      </x:c>
      <x:c r="D207" t="n">
        <x:f>SQRT($B$12*B207/($B$11*$B$14))</x:f>
        <x:v>0.0061702888122904176</x:v>
      </x:c>
      <x:c r="E207" t="n">
        <x:f>SIN(C207*$B$7)</x:f>
        <x:v>0.9896135012093855</x:v>
      </x:c>
      <x:c r="F207" t="n">
        <x:f>COS(C207*$B$7)</x:f>
        <x:v>-0.14375367203693068</x:v>
      </x:c>
      <x:c r="G207" t="n">
        <x:f>SIN(D207*$B$8)</x:f>
        <x:v>-0.11265682506710227</x:v>
      </x:c>
      <x:c r="H207" t="n">
        <x:f>COS(D207*$B$8)</x:f>
        <x:v>0.9936339566287982</x:v>
      </x:c>
      <x:c r="I207" t="n">
        <x:f>$B$12*B207*$B$9*E207*G207-3*$B$11*$B$14*C207*F207*G207-3*$B$11*$B$14*D207*H207*E207</x:f>
        <x:v>-763051762.7038692</x:v>
      </x:c>
      <x:c r="J207" t="n">
        <x:f>IF(AND(I206&lt;0,I207&gt;=0),1,0)</x:f>
        <x:v>0</x:v>
      </x:c>
    </x:row>
    <x:row r="208">
      <x:c r="A208" t="n">
        <x:f>A207+1</x:f>
        <x:v>191</x:v>
      </x:c>
      <x:c r="B208" t="n">
        <x:f>10^(9*A208/299)</x:f>
        <x:v>561259.7255954978</x:v>
      </x:c>
      <x:c r="C208" t="n">
        <x:f>SQRT($B$12*B208/($B$10*$B$13))</x:f>
        <x:v>0.0022194067834029815</x:v>
      </x:c>
      <x:c r="D208" t="n">
        <x:f>SQRT($B$12*B208/($B$11*$B$14))</x:f>
        <x:v>0.006387863977225528</x:v>
      </x:c>
      <x:c r="E208" t="n">
        <x:f>SIN(C208*$B$7)</x:f>
        <x:v>0.9791160949521095</x:v>
      </x:c>
      <x:c r="F208" t="n">
        <x:f>COS(C208*$B$7)</x:f>
        <x:v>-0.2033019247467464</x:v>
      </x:c>
      <x:c r="G208" t="n">
        <x:f>SIN(D208*$B$8)</x:f>
        <x:v>0.10448760317405766</x:v>
      </x:c>
      <x:c r="H208" t="n">
        <x:f>COS(D208*$B$8)</x:f>
        <x:v>0.994526189088523</x:v>
      </x:c>
      <x:c r="I208" t="n">
        <x:f>$B$12*B208*$B$9*E208*G208-3*$B$11*$B$14*C208*F208*G208-3*$B$11*$B$14*D208*H208*E208</x:f>
        <x:v>-756645793.5316861</x:v>
      </x:c>
      <x:c r="J208" t="n">
        <x:f>IF(AND(I207&lt;0,I208&gt;=0),1,0)</x:f>
        <x:v>0</x:v>
      </x:c>
    </x:row>
    <x:row r="209">
      <x:c r="A209" t="n">
        <x:f>A208+1</x:f>
        <x:v>192</x:v>
      </x:c>
      <x:c r="B209" t="n">
        <x:f>10^(9*A209/299)</x:f>
        <x:v>601539.5880274833</x:v>
      </x:c>
      <x:c r="C209" t="n">
        <x:f>SQRT($B$12*B209/($B$10*$B$13))</x:f>
        <x:v>0.002297666944579739</x:v>
      </x:c>
      <x:c r="D209" t="n">
        <x:f>SQRT($B$12*B209/($B$11*$B$14))</x:f>
        <x:v>0.00661311122264773</x:v>
      </x:c>
      <x:c r="E209" t="n">
        <x:f>SIN(C209*$B$7)</x:f>
        <x:v>0.9644777235614348</x:v>
      </x:c>
      <x:c r="F209" t="n">
        <x:f>COS(C209*$B$7)</x:f>
        <x:v>-0.26416419279257464</x:v>
      </x:c>
      <x:c r="G209" t="n">
        <x:f>SIN(D209*$B$8)</x:f>
        <x:v>0.32397294040153735</x:v>
      </x:c>
      <x:c r="H209" t="n">
        <x:f>COS(D209*$B$8)</x:f>
        <x:v>0.94606634750824</x:v>
      </x:c>
      <x:c r="I209" t="n">
        <x:f>$B$12*B209*$B$9*E209*G209-3*$B$11*$B$14*C209*F209*G209-3*$B$11*$B$14*D209*H209*E209</x:f>
        <x:v>-697977620.9595022</x:v>
      </x:c>
      <x:c r="J209" t="n">
        <x:f>IF(AND(I208&lt;0,I209&gt;=0),1,0)</x:f>
        <x:v>0</x:v>
      </x:c>
    </x:row>
    <x:row r="210">
      <x:c r="A210" t="n">
        <x:f>A209+1</x:f>
        <x:v>193</x:v>
      </x:c>
      <x:c r="B210" t="n">
        <x:f>10^(9*A210/299)</x:f>
        <x:v>644710.2107323869</x:v>
      </x:c>
      <x:c r="C210" t="n">
        <x:f>SQRT($B$12*B210/($B$10*$B$13))</x:f>
        <x:v>0.002378686695784434</x:v>
      </x:c>
      <x:c r="D210" t="n">
        <x:f>SQRT($B$12*B210/($B$11*$B$14))</x:f>
        <x:v>0.006846301079520522</x:v>
      </x:c>
      <x:c r="E210" t="n">
        <x:f>SIN(C210*$B$7)</x:f>
        <x:v>0.9453424770536919</x:v>
      </x:c>
      <x:c r="F210" t="n">
        <x:f>COS(C210*$B$7)</x:f>
        <x:v>-0.32607913315327297</x:v>
      </x:c>
      <x:c r="G210" t="n">
        <x:f>SIN(D210*$B$8)</x:f>
        <x:v>0.533823469304577</x:v>
      </x:c>
      <x:c r="H210" t="n">
        <x:f>COS(D210*$B$8)</x:f>
        <x:v>0.8455959458391611</x:v>
      </x:c>
      <x:c r="I210" t="n">
        <x:f>$B$12*B210*$B$9*E210*G210-3*$B$11*$B$14*C210*F210*G210-3*$B$11*$B$14*D210*H210*E210</x:f>
        <x:v>-583531152.6656498</x:v>
      </x:c>
      <x:c r="J210" t="n">
        <x:f>IF(AND(I209&lt;0,I210&gt;=0),1,0)</x:f>
        <x:v>0</x:v>
      </x:c>
    </x:row>
    <x:row r="211">
      <x:c r="A211" t="n">
        <x:f>A210+1</x:f>
        <x:v>194</x:v>
      </x:c>
      <x:c r="B211" t="n">
        <x:f>10^(9*A211/299)</x:f>
        <x:v>690979.0545715645</x:v>
      </x:c>
      <x:c r="C211" t="n">
        <x:f>SQRT($B$12*B211/($B$10*$B$13))</x:f>
        <x:v>0.0024625633449833124</x:v>
      </x:c>
      <x:c r="D211" t="n">
        <x:f>SQRT($B$12*B211/($B$11*$B$14))</x:f>
        <x:v>0.007087713618201862</x:v>
      </x:c>
      <x:c r="E211" t="n">
        <x:f>SIN(C211*$B$7)</x:f>
        <x:v>0.9213511080249656</x:v>
      </x:c>
      <x:c r="F211" t="n">
        <x:f>COS(C211*$B$7)</x:f>
        <x:v>-0.38873144424032413</x:v>
      </x:c>
      <x:c r="G211" t="n">
        <x:f>SIN(D211*$B$8)</x:f>
        <x:v>0.7205036298923444</x:v>
      </x:c>
      <x:c r="H211" t="n">
        <x:f>COS(D211*$B$8)</x:f>
        <x:v>0.6934511657730165</x:v>
      </x:c>
      <x:c r="I211" t="n">
        <x:f>$B$12*B211*$B$9*E211*G211-3*$B$11*$B$14*C211*F211*G211-3*$B$11*$B$14*D211*H211*E211</x:f>
        <x:v>-414999617.7956573</x:v>
      </x:c>
      <x:c r="J211" t="n">
        <x:f>IF(AND(I210&lt;0,I211&gt;=0),1,0)</x:f>
        <x:v>0</x:v>
      </x:c>
    </x:row>
    <x:row r="212">
      <x:c r="A212" t="n">
        <x:f>A211+1</x:f>
        <x:v>195</x:v>
      </x:c>
      <x:c r="B212" t="n">
        <x:f>10^(9*A212/299)</x:f>
        <x:v>740568.4692262443</x:v>
      </x:c>
      <x:c r="C212" t="n">
        <x:f>SQRT($B$12*B212/($B$10*$B$13))</x:f>
        <x:v>0.0025493976313915386</x:v>
      </x:c>
      <x:c r="D212" t="n">
        <x:f>SQRT($B$12*B212/($B$11*$B$14))</x:f>
        <x:v>0.007337638784819898</x:v>
      </x:c>
      <x:c r="E212" t="n">
        <x:f>SIN(C212*$B$7)</x:f>
        <x:v>0.892146448762371</x:v>
      </x:c>
      <x:c r="F212" t="n">
        <x:f>COS(C212*$B$7)</x:f>
        <x:v>-0.45174629379851045</x:v>
      </x:c>
      <x:c r="G212" t="n">
        <x:f>SIN(D212*$B$8)</x:f>
        <x:v>0.8696305378163287</x:v>
      </x:c>
      <x:c r="H212" t="n">
        <x:f>COS(D212*$B$8)</x:f>
        <x:v>0.4937030764511023</x:v>
      </x:c>
      <x:c r="I212" t="n">
        <x:f>$B$12*B212*$B$9*E212*G212-3*$B$11*$B$14*C212*F212*G212-3*$B$11*$B$14*D212*H212*E212</x:f>
        <x:v>-200691925.77261943</x:v>
      </x:c>
      <x:c r="J212" t="n">
        <x:f>IF(AND(I211&lt;0,I212&gt;=0),1,0)</x:f>
        <x:v>0</x:v>
      </x:c>
    </x:row>
    <x:row r="213">
      <x:c r="A213" t="n">
        <x:f>A212+1</x:f>
        <x:v>196</x:v>
      </x:c>
      <x:c r="B213" t="n">
        <x:f>10^(9*A213/299)</x:f>
        <x:v>793716.7617217542</x:v>
      </x:c>
      <x:c r="C213" t="n">
        <x:f>SQRT($B$12*B213/($B$10*$B$13))</x:f>
        <x:v>0.0026392938464650227</x:v>
      </x:c>
      <x:c r="D213" t="n">
        <x:f>SQRT($B$12*B213/($B$11*$B$14))</x:f>
        <x:v>0.0075963767495098805</x:v>
      </x:c>
      <x:c r="E213" t="n">
        <x:f>SIN(C213*$B$7)</x:f>
        <x:v>0.8573801018541538</x:v>
      </x:c>
      <x:c r="F213" t="n">
        <x:f>COS(C213*$B$7)</x:f>
        <x:v>-0.5146837484752758</x:v>
      </x:c>
      <x:c r="G213" t="n">
        <x:f>SIN(D213*$B$8)</x:f>
        <x:v>0.9670029432848686</x:v>
      </x:c>
      <x:c r="H213" t="n">
        <x:f>COS(D213*$B$8)</x:f>
        <x:v>0.25476520107424655</x:v>
      </x:c>
      <x:c r="I213" t="n">
        <x:f>$B$12*B213*$B$9*E213*G213-3*$B$11*$B$14*C213*F213*G213-3*$B$11*$B$14*D213*H213*E213</x:f>
        <x:v>43575132.71737325</x:v>
      </x:c>
      <x:c r="J213" t="n">
        <x:f>IF(AND(I212&lt;0,I213&gt;=0),1,0)</x:f>
        <x:v>1</x:v>
      </x:c>
    </x:row>
    <x:row r="214">
      <x:c r="A214" t="n">
        <x:f>A213+1</x:f>
        <x:v>197</x:v>
      </x:c>
      <x:c r="B214" t="n">
        <x:f>10^(9*A214/299)</x:f>
        <x:v>850679.3416364153</x:v>
      </x:c>
      <x:c r="C214" t="n">
        <x:f>SQRT($B$12*B214/($B$10*$B$13))</x:f>
        <x:v>0.00273235995915865</x:v>
      </x:c>
      <x:c r="D214" t="n">
        <x:f>SQRT($B$12*B214/($B$11*$B$14))</x:f>
        <x:v>0.007864238266930543</x:v>
      </x:c>
      <x:c r="E214" t="n">
        <x:f>SIN(C214*$B$7)</x:f>
        <x:v>0.8167205706853328</x:v>
      </x:c>
      <x:c r="F214" t="n">
        <x:f>COS(C214*$B$7)</x:f>
        <x:v>-0.5770333694158635</x:v>
      </x:c>
      <x:c r="G214" t="n">
        <x:f>SIN(D214*$B$8)</x:f>
        <x:v>0.9999474012013144</x:v>
      </x:c>
      <x:c r="H214" t="n">
        <x:f>COS(D214*$B$8)</x:f>
        <x:v>-0.010256453126571804</x:v>
      </x:c>
      <x:c r="I214" t="n">
        <x:f>$B$12*B214*$B$9*E214*G214-3*$B$11*$B$14*C214*F214*G214-3*$B$11*$B$14*D214*H214*E214</x:f>
        <x:v>294507488.4564505</x:v>
      </x:c>
      <x:c r="J214" t="n">
        <x:f>IF(AND(I213&lt;0,I214&gt;=0),1,0)</x:f>
        <x:v>0</x:v>
      </x:c>
    </x:row>
    <x:row r="215">
      <x:c r="A215" t="n">
        <x:f>A214+1</x:f>
        <x:v>198</x:v>
      </x:c>
      <x:c r="B215" t="n">
        <x:f>10^(9*A215/299)</x:f>
        <x:v>911729.9484984921</x:v>
      </x:c>
      <x:c r="C215" t="n">
        <x:f>SQRT($B$12*B215/($B$10*$B$13))</x:f>
        <x:v>0.0028287077456013</x:v>
      </x:c>
      <x:c r="D215" t="n">
        <x:f>SQRT($B$12*B215/($B$11*$B$14))</x:f>
        <x:v>0.008141545049492842</x:v>
      </x:c>
      <x:c r="E215" t="n">
        <x:f>SIN(C215*$B$7)</x:f>
        <x:v>0.7698629977037802</x:v>
      </x:c>
      <x:c r="F215" t="n">
        <x:f>COS(C215*$B$7)</x:f>
        <x:v>-0.6382091857428482</x:v>
      </x:c>
      <x:c r="G215" t="n">
        <x:f>SIN(D215*$B$8)</x:f>
        <x:v>0.9589377770587783</x:v>
      </x:c>
      <x:c r="H215" t="n">
        <x:f>COS(D215*$B$8)</x:f>
        <x:v>-0.2836165364176935</x:v>
      </x:c>
      <x:c r="I215" t="n">
        <x:f>$B$12*B215*$B$9*E215*G215-3*$B$11*$B$14*C215*F215*G215-3*$B$11*$B$14*D215*H215*E215</x:f>
        <x:v>522712509.340169</x:v>
      </x:c>
      <x:c r="J215" t="n">
        <x:f>IF(AND(I214&lt;0,I215&gt;=0),1,0)</x:f>
        <x:v>0</x:v>
      </x:c>
    </x:row>
    <x:row r="216">
      <x:c r="A216" t="n">
        <x:f>A215+1</x:f>
        <x:v>199</x:v>
      </x:c>
      <x:c r="B216" t="n">
        <x:f>10^(9*A216/299)</x:f>
        <x:v>977161.9672696182</x:v>
      </x:c>
      <x:c r="C216" t="n">
        <x:f>SQRT($B$12*B216/($B$10*$B$13))</x:f>
        <x:v>0.002928452923343469</x:v>
      </x:c>
      <x:c r="D216" t="n">
        <x:f>SQRT($B$12*B216/($B$11*$B$14))</x:f>
        <x:v>0.00842863015374949</x:v>
      </x:c>
      <x:c r="E216" t="n">
        <x:f>SIN(C216*$B$7)</x:f>
        <x:v>0.7165406729087722</x:v>
      </x:c>
      <x:c r="F216" t="n">
        <x:f>COS(C216*$B$7)</x:f>
        <x:v>-0.697545313271793</x:v>
      </x:c>
      <x:c r="G216" t="n">
        <x:f>SIN(D216*$B$8)</x:f>
        <x:v>0.8393833977550922</x:v>
      </x:c>
      <x:c r="H216" t="n">
        <x:f>COS(D216*$B$8)</x:f>
        <x:v>-0.5435397975982226</x:v>
      </x:c>
      <x:c r="I216" t="n">
        <x:f>$B$12*B216*$B$9*E216*G216-3*$B$11*$B$14*C216*F216*G216-3*$B$11*$B$14*D216*H216*E216</x:f>
        <x:v>695769228.1098764</x:v>
      </x:c>
      <x:c r="J216" t="n">
        <x:f>IF(AND(I215&lt;0,I216&gt;=0),1,0)</x:f>
        <x:v>0</x:v>
      </x:c>
    </x:row>
    <x:row r="217">
      <x:c r="A217" t="n">
        <x:f>A216+1</x:f>
        <x:v>200</x:v>
      </x:c>
      <x:c r="B217" t="n">
        <x:f>10^(9*A217/299)</x:f>
        <x:v>1047289.8382363595</x:v>
      </x:c>
      <x:c r="C217" t="n">
        <x:f>SQRT($B$12*B217/($B$10*$B$13))</x:f>
        <x:v>0.003031715290338677</x:v>
      </x:c>
      <x:c r="D217" t="n">
        <x:f>SQRT($B$12*B217/($B$11*$B$14))</x:f>
        <x:v>0.0087258383804092</x:v>
      </x:c>
      <x:c r="E217" t="n">
        <x:f>SIN(C217*$B$7)</x:f>
        <x:v>0.6565384601102041</x:v>
      </x:c>
      <x:c r="F217" t="n">
        <x:f>COS(C217*$B$7)</x:f>
        <x:v>-0.7542925496093156</x:v>
      </x:c>
      <x:c r="G217" t="n">
        <x:f>SIN(D217*$B$8)</x:f>
        <x:v>0.6434062715048554</x:v>
      </x:c>
      <x:c r="H217" t="n">
        <x:f>COS(D217*$B$8)</x:f>
        <x:v>-0.7655248982157408</x:v>
      </x:c>
      <x:c r="I217" t="n">
        <x:f>$B$12*B217*$B$9*E217*G217-3*$B$11*$B$14*C217*F217*G217-3*$B$11*$B$14*D217*H217*E217</x:f>
        <x:v>783108353.7988495</x:v>
      </x:c>
      <x:c r="J217" t="n">
        <x:f>IF(AND(I216&lt;0,I217&gt;=0),1,0)</x:f>
        <x:v>0</x:v>
      </x:c>
    </x:row>
    <x:row r="218">
      <x:c r="A218" t="n">
        <x:f>A217+1</x:f>
        <x:v>201</x:v>
      </x:c>
      <x:c r="B218" t="n">
        <x:f>10^(9*A218/299)</x:f>
        <x:v>1122450.5680853059</x:v>
      </x:c>
      <x:c r="C218" t="n">
        <x:f>SQRT($B$12*B218/($B$10*$B$13))</x:f>
        <x:v>0.0031386188688256058</x:v>
      </x:c>
      <x:c r="D218" t="n">
        <x:f>SQRT($B$12*B218/($B$11*$B$14))</x:f>
        <x:v>0.009033526688456136</x:v>
      </x:c>
      <x:c r="E218" t="n">
        <x:f>SIN(C218*$B$7)</x:f>
        <x:v>0.5897082610415482</x:v>
      </x:c>
      <x:c r="F218" t="n">
        <x:f>COS(C218*$B$7)</x:f>
        <x:v>-0.807616348806383</x:v>
      </x:c>
      <x:c r="G218" t="n">
        <x:f>SIN(D218*$B$8)</x:f>
        <x:v>0.3813454302929144</x:v>
      </x:c>
      <x:c r="H218" t="n">
        <x:f>COS(D218*$B$8)</x:f>
        <x:v>-0.9244326166869665</x:v>
      </x:c>
      <x:c r="I218" t="n">
        <x:f>$B$12*B218*$B$9*E218*G218-3*$B$11*$B$14*C218*F218*G218-3*$B$11*$B$14*D218*H218*E218</x:f>
        <x:v>762420307.3549435</x:v>
      </x:c>
      <x:c r="J218" t="n">
        <x:f>IF(AND(I217&lt;0,I218&gt;=0),1,0)</x:f>
        <x:v>0</x:v>
      </x:c>
    </x:row>
    <x:row r="219">
      <x:c r="A219" t="n">
        <x:f>A218+1</x:f>
        <x:v>202</x:v>
      </x:c>
      <x:c r="B219" t="n">
        <x:f>10^(9*A219/299)</x:f>
        <x:v>1203005.3494233242</x:v>
      </x:c>
      <x:c r="C219" t="n">
        <x:f>SQRT($B$12*B219/($B$10*$B$13))</x:f>
        <x:v>0.0032492920542837905</x:v>
      </x:c>
      <x:c r="D219" t="n">
        <x:f>SQRT($B$12*B219/($B$11*$B$14))</x:f>
        <x:v>0.009352064623871994</x:v>
      </x:c>
      <x:c r="E219" t="n">
        <x:f>SIN(C219*$B$7)</x:f>
        <x:v>0.5159865936972444</x:v>
      </x:c>
      <x:c r="F219" t="n">
        <x:f>COS(C219*$B$7)</x:f>
        <x:v>-0.8565966583665353</x:v>
      </x:c>
      <x:c r="G219" t="n">
        <x:f>SIN(D219*$B$8)</x:f>
        <x:v>0.07264927848598826</x:v>
      </x:c>
      <x:c r="H219" t="n">
        <x:f>COS(D219*$B$8)</x:f>
        <x:v>-0.9973575498964579</x:v>
      </x:c>
      <x:c r="I219" t="n">
        <x:f>$B$12*B219*$B$9*E219*G219-3*$B$11*$B$14*C219*F219*G219-3*$B$11*$B$14*D219*H219*E219</x:f>
        <x:v>626738763.7639425</x:v>
      </x:c>
      <x:c r="J219" t="n">
        <x:f>IF(AND(I218&lt;0,I219&gt;=0),1,0)</x:f>
        <x:v>0</x:v>
      </x:c>
    </x:row>
    <x:row r="220">
      <x:c r="A220" t="n">
        <x:f>A219+1</x:f>
        <x:v>203</x:v>
      </x:c>
      <x:c r="B220" t="n">
        <x:f>10^(9*A220/299)</x:f>
        <x:v>1289341.2965257156</x:v>
      </x:c>
      <x:c r="C220" t="n">
        <x:f>SQRT($B$12*B220/($B$10*$B$13))</x:f>
        <x:v>0.0033638677696417084</x:v>
      </x:c>
      <x:c r="D220" t="n">
        <x:f>SQRT($B$12*B220/($B$11*$B$14))</x:f>
        <x:v>0.009681834763475465</x:v>
      </x:c>
      <x:c r="E220" t="n">
        <x:f>SIN(C220*$B$7)</x:f>
        <x:v>0.43541429700269074</x:v>
      </x:c>
      <x:c r="F220" t="n">
        <x:f>COS(C220*$B$7)</x:f>
        <x:v>-0.9002301872108337</x:v>
      </x:c>
      <x:c r="G220" t="n">
        <x:f>SIN(D220*$B$8)</x:f>
        <x:v>-0.25423516616221625</x:v>
      </x:c>
      <x:c r="H220" t="n">
        <x:f>COS(D220*$B$8)</x:f>
        <x:v>-0.9671424301965406</x:v>
      </x:c>
      <x:c r="I220" t="n">
        <x:f>$B$12*B220*$B$9*E220*G220-3*$B$11*$B$14*C220*F220*G220-3*$B$11*$B$14*D220*H220*E220</x:f>
        <x:v>390675022.60822076</x:v>
      </x:c>
      <x:c r="J220" t="n">
        <x:f>IF(AND(I219&lt;0,I220&gt;=0),1,0)</x:f>
        <x:v>0</x:v>
      </x:c>
    </x:row>
    <x:row r="221">
      <x:c r="A221" t="n">
        <x:f>A220+1</x:f>
        <x:v>204</x:v>
      </x:c>
      <x:c r="B221" t="n">
        <x:f>10^(9*A221/299)</x:f>
        <x:v>1381873.3056536335</x:v>
      </x:c>
      <x:c r="C221" t="n">
        <x:f>SQRT($B$12*B221/($B$10*$B$13))</x:f>
        <x:v>0.0034824836249225596</x:v>
      </x:c>
      <x:c r="D221" t="n">
        <x:f>SQRT($B$12*B221/($B$11*$B$14))</x:f>
        <x:v>0.01002323317441236</x:v>
      </x:c>
      <x:c r="E221" t="n">
        <x:f>SIN(C221*$B$7)</x:f>
        <x:v>0.3481582842137315</x:v>
      </x:c>
      <x:c r="F221" t="n">
        <x:f>COS(C221*$B$7)</x:f>
        <x:v>-0.9374357626703552</x:v>
      </x:c>
      <x:c r="G221" t="n">
        <x:f>SIN(D221*$B$8)</x:f>
        <x:v>-0.5633668329828982</x:v>
      </x:c>
      <x:c r="H221" t="n">
        <x:f>COS(D221*$B$8)</x:f>
        <x:v>-0.8262068817764829</x:v>
      </x:c>
      <x:c r="I221" t="n">
        <x:f>$B$12*B221*$B$9*E221*G221-3*$B$11*$B$14*C221*F221*G221-3*$B$11*$B$14*D221*H221*E221</x:f>
        <x:v>93667922.9034327</x:v>
      </x:c>
      <x:c r="J221" t="n">
        <x:f>IF(AND(I220&lt;0,I221&gt;=0),1,0)</x:f>
        <x:v>0</x:v>
      </x:c>
    </x:row>
    <x:row r="222">
      <x:c r="A222" t="n">
        <x:f>A221+1</x:f>
        <x:v>205</x:v>
      </x:c>
      <x:c r="B222" t="n">
        <x:f>10^(9*A222/299)</x:f>
        <x:v>1481046.048880674</x:v>
      </x:c>
      <x:c r="C222" t="n">
        <x:f>SQRT($B$12*B222/($B$10*$B$13))</x:f>
        <x:v>0.003605282082519403</x:v>
      </x:c>
      <x:c r="D222" t="n">
        <x:f>SQRT($B$12*B222/($B$11*$B$14))</x:f>
        <x:v>0.010376669889848091</x:v>
      </x:c>
      <x:c r="E222" t="n">
        <x:f>SIN(C222*$B$7)</x:f>
        <x:v>0.2545351468740579</x:v>
      </x:c>
      <x:c r="F222" t="n">
        <x:f>COS(C222*$B$7)</x:f>
        <x:v>-0.9670635237696652</x:v>
      </x:c>
      <x:c r="G222" t="n">
        <x:f>SIN(D222*$B$8)</x:f>
        <x:v>-0.8145145515168809</x:v>
      </x:c>
      <x:c r="H222" t="n">
        <x:f>COS(D222*$B$8)</x:f>
        <x:v>-0.5801431248987221</x:v>
      </x:c>
      <x:c r="I222" t="n">
        <x:f>$B$12*B222*$B$9*E222*G222-3*$B$11*$B$14*C222*F222*G222-3*$B$11*$B$14*D222*H222*E222</x:f>
        <x:v>-202165433.46513686</x:v>
      </x:c>
      <x:c r="J222" t="n">
        <x:f>IF(AND(I221&lt;0,I222&gt;=0),1,0)</x:f>
        <x:v>0</x:v>
      </x:c>
    </x:row>
    <x:row r="223">
      <x:c r="A223" t="n">
        <x:f>A222+1</x:f>
        <x:v>206</x:v>
      </x:c>
      <x:c r="B223" t="n">
        <x:f>10^(9*A223/299)</x:f>
        <x:v>1587336.1110102087</x:v>
      </x:c>
      <x:c r="C223" t="n">
        <x:f>SQRT($B$12*B223/($B$10*$B$13))</x:f>
        <x:v>0.0037324106282982145</x:v>
      </x:c>
      <x:c r="D223" t="n">
        <x:f>SQRT($B$12*B223/($B$11*$B$14))</x:f>
        <x:v>0.010742569401433972</x:v>
      </x:c>
      <x:c r="E223" t="n">
        <x:f>SIN(C223*$B$7)</x:f>
        <x:v>0.15503625399262627</x:v>
      </x:c>
      <x:c r="F223" t="n">
        <x:f>COS(C223*$B$7)</x:f>
        <x:v>-0.9879087811877845</x:v>
      </x:c>
      <x:c r="G223" t="n">
        <x:f>SIN(D223*$B$8)</x:f>
        <x:v>-0.9681646277867951</x:v>
      </x:c>
      <x:c r="H223" t="n">
        <x:f>COS(D223*$B$8)</x:f>
        <x:v>-0.25031430942408484</x:v>
      </x:c>
      <x:c r="I223" t="n">
        <x:f>$B$12*B223*$B$9*E223*G223-3*$B$11*$B$14*C223*F223*G223-3*$B$11*$B$14*D223*H223*E223</x:f>
        <x:v>-421590038.15555036</x:v>
      </x:c>
      <x:c r="J223" t="n">
        <x:f>IF(AND(I222&lt;0,I223&gt;=0),1,0)</x:f>
        <x:v>0</x:v>
      </x:c>
    </x:row>
    <x:row r="224">
      <x:c r="A224" t="n">
        <x:f>A223+1</x:f>
        <x:v>207</x:v>
      </x:c>
      <x:c r="B224" t="n">
        <x:f>10^(9*A224/299)</x:f>
        <x:v>1701254.2798525891</x:v>
      </x:c>
      <x:c r="C224" t="n">
        <x:f>SQRT($B$12*B224/($B$10*$B$13))</x:f>
        <x:v>0.003864021948734298</x:v>
      </x:c>
      <x:c r="D224" t="n">
        <x:f>SQRT($B$12*B224/($B$11*$B$14))</x:f>
        <x:v>0.011121371169138623</x:v>
      </x:c>
      <x:c r="E224" t="n">
        <x:f>SIN(C224*$B$7)</x:f>
        <x:v>0.050353791577734626</x:v>
      </x:c>
      <x:c r="F224" t="n">
        <x:f>COS(C224*$B$7)</x:f>
        <x:v>-0.9987314432187193</x:v>
      </x:c>
      <x:c r="G224" t="n">
        <x:f>SIN(D224*$B$8)</x:f>
        <x:v>-0.9920980012092373</x:v>
      </x:c>
      <x:c r="H224" t="n">
        <x:f>COS(D224*$B$8)</x:f>
        <x:v>0.12546535775518353</x:v>
      </x:c>
      <x:c r="I224" t="n">
        <x:f>$B$12*B224*$B$9*E224*G224-3*$B$11*$B$14*C224*F224*G224-3*$B$11*$B$14*D224*H224*E224</x:f>
        <x:v>-493808352.835775</x:v>
      </x:c>
      <x:c r="J224" t="n">
        <x:f>IF(AND(I223&lt;0,I224&gt;=0),1,0)</x:f>
        <x:v>0</x:v>
      </x:c>
    </x:row>
    <x:row r="225">
      <x:c r="A225" t="n">
        <x:f>A224+1</x:f>
        <x:v>208</x:v>
      </x:c>
      <x:c r="B225" t="n">
        <x:f>10^(9*A225/299)</x:f>
        <x:v>1823348.0008684422</x:v>
      </x:c>
      <x:c r="C225" t="n">
        <x:f>SQRT($B$12*B225/($B$10*$B$13))</x:f>
        <x:v>0.004000274114294872</x:v>
      </x:c>
      <x:c r="D225" t="n">
        <x:f>SQRT($B$12*B225/($B$11*$B$14))</x:f>
        <x:v>0.011513530149057052</x:v>
      </x:c>
      <x:c r="E225" t="n">
        <x:f>SIN(C225*$B$7)</x:f>
        <x:v>-0.0585930595170893</x:v>
      </x:c>
      <x:c r="F225" t="n">
        <x:f>COS(C225*$B$7)</x:f>
        <x:v>-0.9982819508417583</x:v>
      </x:c>
      <x:c r="G225" t="n">
        <x:f>SIN(D225*$B$8)</x:f>
        <x:v>-0.8688330577019858</x:v>
      </x:c>
      <x:c r="H225" t="n">
        <x:f>COS(D225*$B$8)</x:f>
        <x:v>0.4951051583696314</x:v>
      </x:c>
      <x:c r="I225" t="n">
        <x:f>$B$12*B225*$B$9*E225*G225-3*$B$11*$B$14*C225*F225*G225-3*$B$11*$B$14*D225*H225*E225</x:f>
        <x:v>-375980861.397364</x:v>
      </x:c>
      <x:c r="J225" t="n">
        <x:f>IF(AND(I224&lt;0,I225&gt;=0),1,0)</x:f>
        <x:v>0</x:v>
      </x:c>
    </x:row>
    <x:row r="226">
      <x:c r="A226" t="n">
        <x:f>A225+1</x:f>
        <x:v>209</x:v>
      </x:c>
      <x:c r="B226" t="n">
        <x:f>10^(9*A226/299)</x:f>
        <x:v>1954204.0079740514</x:v>
      </x:c>
      <x:c r="C226" t="n">
        <x:f>SQRT($B$12*B226/($B$10*$B$13))</x:f>
        <x:v>0.00414133076928802</x:v>
      </x:c>
      <x:c r="D226" t="n">
        <x:f>SQRT($B$12*B226/($B$11*$B$14))</x:f>
        <x:v>0.011919517339831107</x:v>
      </x:c>
      <x:c r="E226" t="n">
        <x:f>SIN(C226*$B$7)</x:f>
        <x:v>-0.17063290842943762</x:v>
      </x:c>
      <x:c r="F226" t="n">
        <x:f>COS(C226*$B$7)</x:f>
        <x:v>-0.985334669318456</x:v>
      </x:c>
      <x:c r="G226" t="n">
        <x:f>SIN(D226*$B$8)</x:f>
        <x:v>-0.6026783564640065</x:v>
      </x:c>
      <x:c r="H226" t="n">
        <x:f>COS(D226*$B$8)</x:f>
        <x:v>0.7979842095241259</x:v>
      </x:c>
      <x:c r="I226" t="n">
        <x:f>$B$12*B226*$B$9*E226*G226-3*$B$11*$B$14*C226*F226*G226-3*$B$11*$B$14*D226*H226*E226</x:f>
        <x:v>-77151028.92325196</x:v>
      </x:c>
      <x:c r="J226" t="n">
        <x:f>IF(AND(I225&lt;0,I226&gt;=0),1,0)</x:f>
        <x:v>0</x:v>
      </x:c>
    </x:row>
    <x:row r="227">
      <x:c r="A227" t="n">
        <x:f>A226+1</x:f>
        <x:v>210</x:v>
      </x:c>
      <x:c r="B227" t="n">
        <x:f>10^(9*A227/299)</x:f>
        <x:v>2094451.1431514688</x:v>
      </x:c>
      <x:c r="C227" t="n">
        <x:f>SQRT($B$12*B227/($B$10*$B$13))</x:f>
        <x:v>0.00428736132840608</x:v>
      </x:c>
      <x:c r="D227" t="n">
        <x:f>SQRT($B$12*B227/($B$11*$B$14))</x:f>
        <x:v>0.012339820348337768</x:v>
      </x:c>
      <x:c r="E227" t="n">
        <x:f>SIN(C227*$B$7)</x:f>
        <x:v>-0.28431935543346704</x:v>
      </x:c>
      <x:c r="F227" t="n">
        <x:f>COS(C227*$B$7)</x:f>
        <x:v>-0.9587296303577447</x:v>
      </x:c>
      <x:c r="G227" t="n">
        <x:f>SIN(D227*$B$8)</x:f>
        <x:v>-0.22461728361002184</x:v>
      </x:c>
      <x:c r="H227" t="n">
        <x:f>COS(D227*$B$8)</x:f>
        <x:v>0.9744470616219514</x:v>
      </x:c>
      <x:c r="I227" t="n">
        <x:f>$B$12*B227*$B$9*E227*G227-3*$B$11*$B$14*C227*F227*G227-3*$B$11*$B$14*D227*H227*E227</x:f>
        <x:v>326483804.0245705</x:v>
      </x:c>
      <x:c r="J227" t="n">
        <x:f>IF(AND(I226&lt;0,I227&gt;=0),1,0)</x:f>
        <x:v>1</x:v>
      </x:c>
    </x:row>
    <x:row r="228">
      <x:c r="A228" t="n">
        <x:f>A227+1</x:f>
        <x:v>211</x:v>
      </x:c>
      <x:c r="B228" t="n">
        <x:f>10^(9*A228/299)</x:f>
        <x:v>2244763.3784132237</x:v>
      </x:c>
      <x:c r="C228" t="n">
        <x:f>SQRT($B$12*B228/($B$10*$B$13))</x:f>
        <x:v>0.004438541180199451</x:v>
      </x:c>
      <x:c r="D228" t="n">
        <x:f>SQRT($B$12*B228/($B$11*$B$14))</x:f>
        <x:v>0.012774943975324457</x:v>
      </x:c>
      <x:c r="E228" t="n">
        <x:f>SIN(C228*$B$7)</x:f>
        <x:v>-0.3979124676833293</x:v>
      </x:c>
      <x:c r="F228" t="n">
        <x:f>COS(C228*$B$7)</x:f>
        <x:v>-0.9174233853909347</x:v>
      </x:c>
      <x:c r="G228" t="n">
        <x:f>SIN(D228*$B$8)</x:f>
        <x:v>0.207064391100232</x:v>
      </x:c>
      <x:c r="H228" t="n">
        <x:f>COS(D228*$B$8)</x:f>
        <x:v>0.9783273163610889</x:v>
      </x:c>
      <x:c r="I228" t="n">
        <x:f>$B$12*B228*$B$9*E228*G228-3*$B$11*$B$14*C228*F228*G228-3*$B$11*$B$14*D228*H228*E228</x:f>
        <x:v>695741719.0441577</x:v>
      </x:c>
      <x:c r="J228" t="n">
        <x:f>IF(AND(I227&lt;0,I228&gt;=0),1,0)</x:f>
        <x:v>0</x:v>
      </x:c>
    </x:row>
    <x:row r="229">
      <x:c r="A229" t="n">
        <x:f>A228+1</x:f>
        <x:v>212</x:v>
      </x:c>
      <x:c r="B229" t="n">
        <x:f>10^(9*A229/299)</x:f>
        <x:v>2405863.054644067</x:v>
      </x:c>
      <x:c r="C229" t="n">
        <x:f>SQRT($B$12*B229/($B$10*$B$13))</x:f>
        <x:v>0.004595051897725281</x:v>
      </x:c>
      <x:c r="D229" t="n">
        <x:f>SQRT($B$12*B229/($B$11*$B$14))</x:f>
        <x:v>0.013225410821695014</x:v>
      </x:c>
      <x:c r="E229" t="n">
        <x:f>SIN(C229*$B$7)</x:f>
        <x:v>-0.509366837517197</x:v>
      </x:c>
      <x:c r="F229" t="n">
        <x:f>COS(C229*$B$7)</x:f>
        <x:v>-0.860549490057213</x:v>
      </x:c>
      <x:c r="G229" t="n">
        <x:f>SIN(D229*$B$8)</x:f>
        <x:v>0.6123583409391133</x:v>
      </x:c>
      <x:c r="H229" t="n">
        <x:f>COS(D229*$B$8)</x:f>
        <x:v>0.7905803325926446</x:v>
      </x:c>
      <x:c r="I229" t="n">
        <x:f>$B$12*B229*$B$9*E229*G229-3*$B$11*$B$14*C229*F229*G229-3*$B$11*$B$14*D229*H229*E229</x:f>
        <x:v>860558831.6316614</x:v>
      </x:c>
      <x:c r="J229" t="n">
        <x:f>IF(AND(I228&lt;0,I229&gt;=0),1,0)</x:f>
        <x:v>0</x:v>
      </x:c>
    </x:row>
    <x:row r="230">
      <x:c r="A230" t="n">
        <x:f>A229+1</x:f>
        <x:v>213</x:v>
      </x:c>
      <x:c r="B230" t="n">
        <x:f>10^(9*A230/299)</x:f>
        <x:v>2578524.3528842763</x:v>
      </x:c>
      <x:c r="C230" t="n">
        <x:f>SQRT($B$12*B230/($B$10*$B$13))</x:f>
        <x:v>0.0047570814566239746</x:v>
      </x:c>
      <x:c r="D230" t="n">
        <x:f>SQRT($B$12*B230/($B$11*$B$14))</x:f>
        <x:v>0.013691761916174291</x:v>
      </x:c>
      <x:c r="E230" t="n">
        <x:f>SIN(C230*$B$7)</x:f>
        <x:v>-0.6163290113210665</x:v>
      </x:c>
      <x:c r="F230" t="n">
        <x:f>COS(C230*$B$7)</x:f>
        <x:v>-0.7874887617001252</x:v>
      </x:c>
      <x:c r="G230" t="n">
        <x:f>SIN(D230*$B$8)</x:f>
        <x:v>0.9024362451721468</x:v>
      </x:c>
      <x:c r="H230" t="n">
        <x:f>COS(D230*$B$8)</x:f>
        <x:v>0.4308234248501316</x:v>
      </x:c>
      <x:c r="I230" t="n">
        <x:f>$B$12*B230*$B$9*E230*G230-3*$B$11*$B$14*C230*F230*G230-3*$B$11*$B$14*D230*H230*E230</x:f>
        <x:v>680322112.1841624</x:v>
      </x:c>
      <x:c r="J230" t="n">
        <x:f>IF(AND(I229&lt;0,I230&gt;=0),1,0)</x:f>
        <x:v>0</x:v>
      </x:c>
    </x:row>
    <x:row r="231">
      <x:c r="A231" t="n">
        <x:f>A230+1</x:f>
        <x:v>214</x:v>
      </x:c>
      <x:c r="B231" t="n">
        <x:f>10^(9*A231/299)</x:f>
        <x:v>2763577.0147361574</x:v>
      </x:c>
      <x:c r="C231" t="n">
        <x:f>SQRT($B$12*B231/($B$10*$B$13))</x:f>
        <x:v>0.004924824460885468</x:v>
      </x:c>
      <x:c r="D231" t="n">
        <x:f>SQRT($B$12*B231/($B$11*$B$14))</x:f>
        <x:v>0.014174557365105308</x:v>
      </x:c>
      <x:c r="E231" t="n">
        <x:f>SIN(C231*$B$7)</x:f>
        <x:v>-0.716147562320133</x:v>
      </x:c>
      <x:c r="F231" t="n">
        <x:f>COS(C231*$B$7)</x:f>
        <x:v>-0.6979489014125112</x:v>
      </x:c>
      <x:c r="G231" t="n">
        <x:f>SIN(D231*$B$8)</x:f>
        <x:v>0.9993010595331814</x:v>
      </x:c>
      <x:c r="H231" t="n">
        <x:f>COS(D231*$B$8)</x:f>
        <x:v>-0.03738171231847177</x:v>
      </x:c>
      <x:c r="I231" t="n">
        <x:f>$B$12*B231*$B$9*E231*G231-3*$B$11*$B$14*C231*F231*G231-3*$B$11*$B$14*D231*H231*E231</x:f>
        <x:v>118658220.44652203</x:v>
      </x:c>
      <x:c r="J231" t="n">
        <x:f>IF(AND(I230&lt;0,I231&gt;=0),1,0)</x:f>
        <x:v>0</x:v>
      </x:c>
    </x:row>
    <x:row r="232">
      <x:c r="A232" t="n">
        <x:f>A231+1</x:f>
        <x:v>215</x:v>
      </x:c>
      <x:c r="B232" t="n">
        <x:f>10^(9*A232/299)</x:f>
        <x:v>2961910.3297725534</x:v>
      </x:c>
      <x:c r="C232" t="n">
        <x:f>SQRT($B$12*B232/($B$10*$B$13))</x:f>
        <x:v>0.00509848237657643</x:v>
      </x:c>
      <x:c r="D232" t="n">
        <x:f>SQRT($B$12*B232/($B$11*$B$14))</x:f>
        <x:v>0.014674377025159462</x:v>
      </x:c>
      <x:c r="E232" t="n">
        <x:f>SIN(C232*$B$7)</x:f>
        <x:v>-0.8058995327537457</x:v>
      </x:c>
      <x:c r="F232" t="n">
        <x:f>COS(C232*$B$7)</x:f>
        <x:v>-0.5920523145021007</x:v>
      </x:c>
      <x:c r="G232" t="n">
        <x:f>SIN(D232*$B$8)</x:f>
        <x:v>0.8591397376876538</x:v>
      </x:c>
      <x:c r="H232" t="n">
        <x:f>COS(D232*$B$8)</x:f>
        <x:v>-0.511741058667359</x:v>
      </x:c>
      <x:c r="I232" t="n">
        <x:f>$B$12*B232*$B$9*E232*G232-3*$B$11*$B$14*C232*F232*G232-3*$B$11*$B$14*D232*H232*E232</x:f>
        <x:v>-697302351.7959609</x:v>
      </x:c>
      <x:c r="J232" t="n">
        <x:f>IF(AND(I231&lt;0,I232&gt;=0),1,0)</x:f>
        <x:v>0</x:v>
      </x:c>
    </x:row>
    <x:row r="233">
      <x:c r="A233" t="n">
        <x:f>A232+1</x:f>
        <x:v>216</x:v>
      </x:c>
      <x:c r="B233" t="n">
        <x:f>10^(9*A233/299)</x:f>
        <x:v>3174477.4091091934</x:v>
      </x:c>
      <x:c r="C233" t="n">
        <x:f>SQRT($B$12*B233/($B$10*$B$13))</x:f>
        <x:v>0.005278263773809049</x:v>
      </x:c>
      <x:c r="D233" t="n">
        <x:f>SQRT($B$12*B233/($B$11*$B$14))</x:f>
        <x:v>0.015191821199767535</x:v>
      </x:c>
      <x:c r="E233" t="n">
        <x:f>SIN(C233*$B$7)</x:f>
        <x:v>-0.8824373340020134</x:v>
      </x:c>
      <x:c r="F233" t="n">
        <x:f>COS(C233*$B$7)</x:f>
        <x:v>-0.470429964563716</x:v>
      </x:c>
      <x:c r="G233" t="n">
        <x:f>SIN(D233*$B$8)</x:f>
        <x:v>0.49352846123528255</x:v>
      </x:c>
      <x:c r="H233" t="n">
        <x:f>COS(D233*$B$8)</x:f>
        <x:v>-0.8697296464710941</x:v>
      </x:c>
      <x:c r="I233" t="n">
        <x:f>$B$12*B233*$B$9*E233*G233-3*$B$11*$B$14*C233*F233*G233-3*$B$11*$B$14*D233*H233*E233</x:f>
        <x:v>-1473106399.9983237</x:v>
      </x:c>
      <x:c r="J233" t="n">
        <x:f>IF(AND(I232&lt;0,I233&gt;=0),1,0)</x:f>
        <x:v>0</x:v>
      </x:c>
    </x:row>
    <x:row r="234">
      <x:c r="A234" t="n">
        <x:f>A233+1</x:f>
        <x:v>217</x:v>
      </x:c>
      <x:c r="B234" t="n">
        <x:f>10^(9*A234/299)</x:f>
        <x:v>3402299.7656780714</x:v>
      </x:c>
      <x:c r="C234" t="n">
        <x:f>SQRT($B$12*B234/($B$10*$B$13))</x:f>
        <x:v>0.005464384577242109</x:v>
      </x:c>
      <x:c r="D234" t="n">
        <x:f>SQRT($B$12*B234/($B$11*$B$14))</x:f>
        <x:v>0.01572751136010821</x:v>
      </x:c>
      <x:c r="E234" t="n">
        <x:f>SIN(C234*$B$7)</x:f>
        <x:v>-0.9424603910628936</x:v>
      </x:c>
      <x:c r="F234" t="n">
        <x:f>COS(C234*$B$7)</x:f>
        <x:v>-0.334317829733291</x:v>
      </x:c>
      <x:c r="G234" t="n">
        <x:f>SIN(D234*$B$8)</x:f>
        <x:v>-0.0195468472044397</x:v>
      </x:c>
      <x:c r="H234" t="n">
        <x:f>COS(D234*$B$8)</x:f>
        <x:v>-0.9998089421306284</x:v>
      </x:c>
      <x:c r="I234" t="n">
        <x:f>$B$12*B234*$B$9*E234*G234-3*$B$11*$B$14*C234*F234*G234-3*$B$11*$B$14*D234*H234*E234</x:f>
        <x:v>-1830767935.354228</x:v>
      </x:c>
      <x:c r="J234" t="n">
        <x:f>IF(AND(I233&lt;0,I234&gt;=0),1,0)</x:f>
        <x:v>0</x:v>
      </x:c>
    </x:row>
    <x:row r="235">
      <x:c r="A235" t="n">
        <x:f>A234+1</x:f>
        <x:v>218</x:v>
      </x:c>
      <x:c r="B235" t="n">
        <x:f>10^(9*A235/299)</x:f>
        <x:v>3646472.223212745</x:v>
      </x:c>
      <x:c r="C235" t="n">
        <x:f>SQRT($B$12*B235/($B$10*$B$13))</x:f>
        <x:v>0.005657068325415147</x:v>
      </x:c>
      <x:c r="D235" t="n">
        <x:f>SQRT($B$12*B235/($B$11*$B$14))</x:f>
        <x:v>0.016282090891519805</x:v>
      </x:c>
      <x:c r="E235" t="n">
        <x:f>SIN(C235*$B$7)</x:f>
        <x:v>-0.9826157503585463</x:v>
      </x:c>
      <x:c r="F235" t="n">
        <x:f>COS(C235*$B$7)</x:f>
        <x:v>-0.18565098208011427</x:v>
      </x:c>
      <x:c r="G235" t="n">
        <x:f>SIN(D235*$B$8)</x:f>
        <x:v>-0.5431024922521611</x:v>
      </x:c>
      <x:c r="H235" t="n">
        <x:f>COS(D235*$B$8)</x:f>
        <x:v>-0.8396664116835276</x:v>
      </x:c>
      <x:c r="I235" t="n">
        <x:f>$B$12*B235*$B$9*E235*G235-3*$B$11*$B$14*C235*F235*G235-3*$B$11*$B$14*D235*H235*E235</x:f>
        <x:v>-1478213375.5891733</x:v>
      </x:c>
      <x:c r="J235" t="n">
        <x:f>IF(AND(I234&lt;0,I235&gt;=0),1,0)</x:f>
        <x:v>0</x:v>
      </x:c>
    </x:row>
    <x:row r="236">
      <x:c r="A236" t="n">
        <x:f>A235+1</x:f>
        <x:v>219</x:v>
      </x:c>
      <x:c r="B236" t="n">
        <x:f>10^(9*A236/299)</x:f>
        <x:v>3908168.177536264</x:v>
      </x:c>
      <x:c r="C236" t="n">
        <x:f>SQRT($B$12*B236/($B$10*$B$13))</x:f>
        <x:v>0.0058565464392272126</x:v>
      </x:c>
      <x:c r="D236" t="n">
        <x:f>SQRT($B$12*B236/($B$11*$B$14))</x:f>
        <x:v>0.016856225866231932</x:v>
      </x:c>
      <x:c r="E236" t="n">
        <x:f>SIN(C236*$B$7)</x:f>
        <x:v>-0.9996314117360087</x:v>
      </x:c>
      <x:c r="F236" t="n">
        <x:f>COS(C236*$B$7)</x:f>
        <x:v>-0.027148492972434334</x:v>
      </x:c>
      <x:c r="G236" t="n">
        <x:f>SIN(D236*$B$8)</x:f>
        <x:v>-0.9120528562182206</x:v>
      </x:c>
      <x:c r="H236" t="n">
        <x:f>COS(D236*$B$8)</x:f>
        <x:v>-0.4100726612006534</x:v>
      </x:c>
      <x:c r="I236" t="n">
        <x:f>$B$12*B236*$B$9*E236*G236-3*$B$11*$B$14*C236*F236*G236-3*$B$11*$B$14*D236*H236*E236</x:f>
        <x:v>-405663316.21670514</x:v>
      </x:c>
      <x:c r="J236" t="n">
        <x:f>IF(AND(I235&lt;0,I236&gt;=0),1,0)</x:f>
        <x:v>0</x:v>
      </x:c>
    </x:row>
    <x:row r="237">
      <x:c r="A237" t="n">
        <x:f>A236+1</x:f>
        <x:v>220</x:v>
      </x:c>
      <x:c r="B237" t="n">
        <x:f>10^(9*A237/299)</x:f>
        <x:v>4188645.235435271</x:v>
      </x:c>
      <x:c r="C237" t="n">
        <x:f>SQRT($B$12*B237/($B$10*$B$13))</x:f>
        <x:v>0.006063058499882602</x:v>
      </x:c>
      <x:c r="D237" t="n">
        <x:f>SQRT($B$12*B237/($B$11*$B$14))</x:f>
        <x:v>0.017450605843344784</x:v>
      </x:c>
      <x:c r="E237" t="n">
        <x:f>SIN(C237*$B$7)</x:f>
        <x:v>-0.990485146376471</x:v>
      </x:c>
      <x:c r="F237" t="n">
        <x:f>COS(C237*$B$7)</x:f>
        <x:v>0.13761967449307788</x:v>
      </x:c>
      <x:c r="G237" t="n">
        <x:f>SIN(D237*$B$8)</x:f>
        <x:v>-0.9852707346633992</x:v>
      </x:c>
      <x:c r="H237" t="n">
        <x:f>COS(D237*$B$8)</x:f>
        <x:v>0.17100169418998606</x:v>
      </x:c>
      <x:c r="I237" t="n">
        <x:f>$B$12*B237*$B$9*E237*G237-3*$B$11*$B$14*C237*F237*G237-3*$B$11*$B$14*D237*H237*E237</x:f>
        <x:v>1004171916.6622746</x:v>
      </x:c>
      <x:c r="J237" t="n">
        <x:f>IF(AND(I236&lt;0,I237&gt;=0),1,0)</x:f>
        <x:v>1</x:v>
      </x:c>
    </x:row>
    <x:row r="238">
      <x:c r="A238" t="n">
        <x:f>A237+1</x:f>
        <x:v>221</x:v>
      </x:c>
      <x:c r="B238" t="n">
        <x:f>10^(9*A238/299)</x:f>
        <x:v>4489251.258218608</x:v>
      </x:c>
      <x:c r="C238" t="n">
        <x:f>SQRT($B$12*B238/($B$10*$B$13))</x:f>
        <x:v>0.006276852536637503</x:v>
      </x:c>
      <x:c r="D238" t="n">
        <x:f>SQRT($B$12*B238/($B$11*$B$14))</x:f>
        <x:v>0.01806594469701733</x:v>
      </x:c>
      <x:c r="E238" t="n">
        <x:f>SIN(C238*$B$7)</x:f>
        <x:v>-0.9526098514301048</x:v>
      </x:c>
      <x:c r="F238" t="n">
        <x:f>COS(C238*$B$7)</x:f>
        <x:v>0.304194791142639</x:v>
      </x:c>
      <x:c r="G238" t="n">
        <x:f>SIN(D238*$B$8)</x:f>
        <x:v>-0.7058420963133015</x:v>
      </x:c>
      <x:c r="H238" t="n">
        <x:f>COS(D238*$B$8)</x:f>
        <x:v>0.7083692081619894</x:v>
      </x:c>
      <x:c r="I238" t="n">
        <x:f>$B$12*B238*$B$9*E238*G238-3*$B$11*$B$14*C238*F238*G238-3*$B$11*$B$14*D238*H238*E238</x:f>
        <x:v>2072164862.8926995</x:v>
      </x:c>
      <x:c r="J238" t="n">
        <x:f>IF(AND(I237&lt;0,I238&gt;=0),1,0)</x:f>
        <x:v>0</x:v>
      </x:c>
    </x:row>
    <x:row r="239">
      <x:c r="A239" t="n">
        <x:f>A238+1</x:f>
        <x:v>222</x:v>
      </x:c>
      <x:c r="B239" t="n">
        <x:f>10^(9*A239/299)</x:f>
        <x:v>4811430.839003264</x:v>
      </x:c>
      <x:c r="C239" t="n">
        <x:f>SQRT($B$12*B239/($B$10*$B$13))</x:f>
        <x:v>0.006498185324693062</x:v>
      </x:c>
      <x:c r="D239" t="n">
        <x:f>SQRT($B$12*B239/($B$11*$B$14))</x:f>
        <x:v>0.018702981473858737</x:v>
      </x:c>
      <x:c r="E239" t="n">
        <x:f>SIN(C239*$B$7)</x:f>
        <x:v>-0.8841338890265262</x:v>
      </x:c>
      <x:c r="F239" t="n">
        <x:f>COS(C239*$B$7)</x:f>
        <x:v>0.4672336313610465</x:v>
      </x:c>
      <x:c r="G239" t="n">
        <x:f>SIN(D239*$B$8)</x:f>
        <x:v>-0.14605017525468417</x:v>
      </x:c>
      <x:c r="H239" t="n">
        <x:f>COS(D239*$B$8)</x:f>
        <x:v>0.9892771837599794</x:v>
      </x:c>
      <x:c r="I239" t="n">
        <x:f>$B$12*B239*$B$9*E239*G239-3*$B$11*$B$14*C239*F239*G239-3*$B$11*$B$14*D239*H239*E239</x:f>
        <x:v>2161516995.349423</x:v>
      </x:c>
      <x:c r="J239" t="n">
        <x:f>IF(AND(I238&lt;0,I239&gt;=0),1,0)</x:f>
        <x:v>0</x:v>
      </x:c>
    </x:row>
    <x:row r="240">
      <x:c r="A240" t="n">
        <x:f>A239+1</x:f>
        <x:v>223</x:v>
      </x:c>
      <x:c r="B240" t="n">
        <x:f>10^(9*A240/299)</x:f>
        <x:v>5156732.244854963</x:v>
      </x:c>
      <x:c r="C240" t="n">
        <x:f>SQRT($B$12*B240/($B$10*$B$13))</x:f>
        <x:v>0.006727322693592677</x:v>
      </x:c>
      <x:c r="D240" t="n">
        <x:f>SQRT($B$12*B240/($B$11*$B$14))</x:f>
        <x:v>0.01936248128055295</x:v>
      </x:c>
      <x:c r="E240" t="n">
        <x:f>SIN(C240*$B$7)</x:f>
        <x:v>-0.7841511906380253</x:v>
      </x:c>
      <x:c r="F240" t="n">
        <x:f>COS(C240*$B$7)</x:f>
        <x:v>0.6205698270307437</x:v>
      </x:c>
      <x:c r="G240" t="n">
        <x:f>SIN(D240*$B$8)</x:f>
        <x:v>0.49072824541207904</x:v>
      </x:c>
      <x:c r="H240" t="n">
        <x:f>COS(D240*$B$8)</x:f>
        <x:v>0.8713126816216911</x:v>
      </x:c>
      <x:c r="I240" t="n">
        <x:f>$B$12*B240*$B$9*E240*G240-3*$B$11*$B$14*C240*F240*G240-3*$B$11*$B$14*D240*H240*E240</x:f>
        <x:v>1123627507.9953973</x:v>
      </x:c>
      <x:c r="J240" t="n">
        <x:f>IF(AND(I239&lt;0,I240&gt;=0),1,0)</x:f>
        <x:v>0</x:v>
      </x:c>
    </x:row>
    <x:row r="241">
      <x:c r="A241" t="n">
        <x:f>A240+1</x:f>
        <x:v>224</x:v>
      </x:c>
      <x:c r="B241" t="n">
        <x:f>10^(9*A241/299)</x:f>
        <x:v>5526814.8571446035</x:v>
      </x:c>
      <x:c r="C241" t="n">
        <x:f>SQRT($B$12*B241/($B$10*$B$13))</x:f>
        <x:v>0.0069645398464939536</x:v>
      </x:c>
      <x:c r="D241" t="n">
        <x:f>SQRT($B$12*B241/($B$11*$B$14))</x:f>
        <x:v>0.02004523620278251</x:v>
      </x:c>
      <x:c r="E241" t="n">
        <x:f>SIN(C241*$B$7)</x:f>
        <x:v>-0.6530110461404864</x:v>
      </x:c>
      <x:c r="F241" t="n">
        <x:f>COS(C241*$B$7)</x:f>
        <x:v>0.7573483832546998</x:v>
      </x:c>
      <x:c r="G241" t="n">
        <x:f>SIN(D241*$B$8)</x:f>
        <x:v>0.9304651113495299</x:v>
      </x:c>
      <x:c r="H241" t="n">
        <x:f>COS(D241*$B$8)</x:f>
        <x:v>0.36638050788941673</x:v>
      </x:c>
      <x:c r="I241" t="n">
        <x:f>$B$12*B241*$B$9*E241*G241-3*$B$11*$B$14*C241*F241*G241-3*$B$11*$B$14*D241*H241*E241</x:f>
        <x:v>-454615157.6882874</x:v>
      </x:c>
      <x:c r="J241" t="n">
        <x:f>IF(AND(I240&lt;0,I241&gt;=0),1,0)</x:f>
        <x:v>0</x:v>
      </x:c>
    </x:row>
    <x:row r="242">
      <x:c r="A242" t="n">
        <x:f>A241+1</x:f>
        <x:v>225</x:v>
      </x:c>
      <x:c r="B242" t="n">
        <x:f>10^(9*A242/299)</x:f>
        <x:v>5923457.145875806</x:v>
      </x:c>
      <x:c r="C242" t="n">
        <x:f>SQRT($B$12*B242/($B$10*$B$13))</x:f>
        <x:v>0.007210121690698679</x:v>
      </x:c>
      <x:c r="D242" t="n">
        <x:f>SQRT($B$12*B242/($B$11*$B$14))</x:f>
        <x:v>0.0207520662565551</x:v>
      </x:c>
      <x:c r="E242" t="n">
        <x:f>SIN(C242*$B$7)</x:f>
        <x:v>-0.4926113933971199</x:v>
      </x:c>
      <x:c r="F242" t="n">
        <x:f>COS(C242*$B$7)</x:f>
        <x:v>0.8702493982160218</x:v>
      </x:c>
      <x:c r="G242" t="n">
        <x:f>SIN(D242*$B$8)</x:f>
        <x:v>0.9454855417328699</x:v>
      </x:c>
      <x:c r="H242" t="n">
        <x:f>COS(D242*$B$8)</x:f>
        <x:v>-0.3256640759649452</x:v>
      </x:c>
      <x:c r="I242" t="n">
        <x:f>$B$12*B242*$B$9*E242*G242-3*$B$11*$B$14*C242*F242*G242-3*$B$11*$B$14*D242*H242*E242</x:f>
        <x:v>-1508637280.0552802</x:v>
      </x:c>
      <x:c r="J242" t="n">
        <x:f>IF(AND(I241&lt;0,I242&gt;=0),1,0)</x:f>
        <x:v>0</x:v>
      </x:c>
    </x:row>
    <x:row r="243">
      <x:c r="A243" t="n">
        <x:f>A242+1</x:f>
        <x:v>226</x:v>
      </x:c>
      <x:c r="B243" t="n">
        <x:f>10^(9*A243/299)</x:f>
        <x:v>6348565.216305223</x:v>
      </x:c>
      <x:c r="C243" t="n">
        <x:f>SQRT($B$12*B243/($B$10*$B$13))</x:f>
        <x:v>0.007464363179837929</x:v>
      </x:c>
      <x:c r="D243" t="n">
        <x:f>SQRT($B$12*B243/($B$11*$B$14))</x:f>
        <x:v>0.02148382037307566</x:v>
      </x:c>
      <x:c r="E243" t="n">
        <x:f>SIN(C243*$B$7)</x:f>
        <x:v>-0.3066721775651664</x:v>
      </x:c>
      <x:c r="F243" t="n">
        <x:f>COS(C243*$B$7)</x:f>
        <x:v>0.9518152002922832</x:v>
      </x:c>
      <x:c r="G243" t="n">
        <x:f>SIN(D243*$B$8)</x:f>
        <x:v>0.48584371024664014</x:v>
      </x:c>
      <x:c r="H243" t="n">
        <x:f>COS(D243*$B$8)</x:f>
        <x:v>-0.8740457020166501</x:v>
      </x:c>
      <x:c r="I243" t="n">
        <x:f>$B$12*B243*$B$9*E243*G243-3*$B$11*$B$14*C243*F243*G243-3*$B$11*$B$14*D243*H243*E243</x:f>
        <x:v>-1264331662.224039</x:v>
      </x:c>
      <x:c r="J243" t="n">
        <x:f>IF(AND(I242&lt;0,I243&gt;=0),1,0)</x:f>
        <x:v>0</x:v>
      </x:c>
    </x:row>
    <x:row r="244">
      <x:c r="A244" t="n">
        <x:f>A243+1</x:f>
        <x:v>227</x:v>
      </x:c>
      <x:c r="B244" t="n">
        <x:f>10^(9*A244/299)</x:f>
        <x:v>6804181.968927094</x:v>
      </x:c>
      <x:c r="C244" t="n">
        <x:f>SQRT($B$12*B244/($B$10*$B$13))</x:f>
        <x:v>0.007727569668123181</x:v>
      </x:c>
      <x:c r="D244" t="n">
        <x:f>SQRT($B$12*B244/($B$11*$B$14))</x:f>
        <x:v>0.02224137741834676</x:v>
      </x:c>
      <x:c r="E244" t="n">
        <x:f>SIN(C244*$B$7)</x:f>
        <x:v>-0.10095728223999831</x:v>
      </x:c>
      <x:c r="F244" t="n">
        <x:f>COS(C244*$B$7)</x:f>
        <x:v>0.9948907614219329</x:v>
      </x:c>
      <x:c r="G244" t="n">
        <x:f>SIN(D244*$B$8)</x:f>
        <x:v>-0.24762568181115513</x:v>
      </x:c>
      <x:c r="H244" t="n">
        <x:f>COS(D244*$B$8)</x:f>
        <x:v>-0.9688557796223133</x:v>
      </x:c>
      <x:c r="I244" t="n">
        <x:f>$B$12*B244*$B$9*E244*G244-3*$B$11*$B$14*C244*F244*G244-3*$B$11*$B$14*D244*H244*E244</x:f>
        <x:v>-11312181.537421077</x:v>
      </x:c>
      <x:c r="J244" t="n">
        <x:f>IF(AND(I243&lt;0,I244&gt;=0),1,0)</x:f>
        <x:v>0</x:v>
      </x:c>
    </x:row>
    <x:row r="245">
      <x:c r="A245" t="n">
        <x:f>A244+1</x:f>
        <x:v>228</x:v>
      </x:c>
      <x:c r="B245" t="n">
        <x:f>10^(9*A245/299)</x:f>
        <x:v>7292496.916841445</x:v>
      </x:c>
      <x:c r="C245" t="n">
        <x:f>SQRT($B$12*B245/($B$10*$B$13))</x:f>
        <x:v>0.008000057277088983</x:v>
      </x:c>
      <x:c r="D245" t="n">
        <x:f>SQRT($B$12*B245/($B$11*$B$14))</x:f>
        <x:v>0.02302564724872193</x:v>
      </x:c>
      <x:c r="E245" t="n">
        <x:f>SIN(C245*$B$7)</x:f>
        <x:v>0.11659471412089738</x:v>
      </x:c>
      <x:c r="F245" t="n">
        <x:f>COS(C245*$B$7)</x:f>
        <x:v>0.9931795772361945</x:v>
      </x:c>
      <x:c r="G245" t="n">
        <x:f>SIN(D245*$B$8)</x:f>
        <x:v>-0.8596063082986345</x:v>
      </x:c>
      <x:c r="H245" t="n">
        <x:f>COS(D245*$B$8)</x:f>
        <x:v>-0.5109569401947613</x:v>
      </x:c>
      <x:c r="I245" t="n">
        <x:f>$B$12*B245*$B$9*E245*G245-3*$B$11*$B$14*C245*F245*G245-3*$B$11*$B$14*D245*H245*E245</x:f>
        <x:v>919386514.098742</x:v>
      </x:c>
      <x:c r="J245" t="n">
        <x:f>IF(AND(I244&lt;0,I245&gt;=0),1,0)</x:f>
        <x:v>1</x:v>
      </x:c>
    </x:row>
    <x:row r="246">
      <x:c r="A246" t="n">
        <x:f>A245+1</x:f>
        <x:v>229</x:v>
      </x:c>
      <x:c r="B246" t="n">
        <x:f>10^(9*A246/299)</x:f>
        <x:v>7815856.707684091</x:v>
      </x:c>
      <x:c r="C246" t="n">
        <x:f>SQRT($B$12*B246/($B$10*$B$13))</x:f>
        <x:v>0.008282153275267524</x:v>
      </x:c>
      <x:c r="D246" t="n">
        <x:f>SQRT($B$12*B246/($B$11*$B$14))</x:f>
        <x:v>0.023837571803679458</x:v>
      </x:c>
      <x:c r="E246" t="n">
        <x:f>SIN(C246*$B$7)</x:f>
        <x:v>0.3358780797879891</x:v>
      </x:c>
      <x:c r="F246" t="n">
        <x:f>COS(C246*$B$7)</x:f>
        <x:v>0.941905470584991</x:v>
      </x:c>
      <x:c r="G246" t="n">
        <x:f>SIN(D246*$B$8)</x:f>
        <x:v>-0.9622547752684296</x:v>
      </x:c>
      <x:c r="H246" t="n">
        <x:f>COS(D246*$B$8)</x:f>
        <x:v>0.2721502296032543</x:v>
      </x:c>
      <x:c r="I246" t="n">
        <x:f>$B$12*B246*$B$9*E246*G246-3*$B$11*$B$14*C246*F246*G246-3*$B$11*$B$14*D246*H246*E246</x:f>
        <x:v>327966518.6751138</x:v>
      </x:c>
      <x:c r="J246" t="n">
        <x:f>IF(AND(I245&lt;0,I246&gt;=0),1,0)</x:f>
        <x:v>0</x:v>
      </x:c>
    </x:row>
    <x:row r="247">
      <x:c r="A247" t="n">
        <x:f>A246+1</x:f>
        <x:v>230</x:v>
      </x:c>
      <x:c r="B247" t="n">
        <x:f>10^(9*A247/299)</x:f>
        <x:v>8376776.400682924</x:v>
      </x:c>
      <x:c r="C247" t="n">
        <x:f>SQRT($B$12*B247/($B$10*$B$13))</x:f>
        <x:v>0.008574196471251292</x:v>
      </x:c>
      <x:c r="D247" t="n">
        <x:f>SQRT($B$12*B247/($B$11*$B$14))</x:f>
        <x:v>0.024678126237129526</x:v>
      </x:c>
      <x:c r="E247" t="n">
        <x:f>SIN(C247*$B$7)</x:f>
        <x:v>0.5448178411737812</x:v>
      </x:c>
      <x:c r="F247" t="n">
        <x:f>COS(C247*$B$7)</x:f>
        <x:v>0.8385544227649989</x:v>
      </x:c>
      <x:c r="G247" t="n">
        <x:f>SIN(D247*$B$8)</x:f>
        <x:v>-0.43911644319204013</x:v>
      </x:c>
      <x:c r="H247" t="n">
        <x:f>COS(D247*$B$8)</x:f>
        <x:v>0.8984301582863143</x:v>
      </x:c>
      <x:c r="I247" t="n">
        <x:f>$B$12*B247*$B$9*E247*G247-3*$B$11*$B$14*C247*F247*G247-3*$B$11*$B$14*D247*H247*E247</x:f>
        <x:v>-1367540922.717383</x:v>
      </x:c>
      <x:c r="J247" t="n">
        <x:f>IF(AND(I246&lt;0,I247&gt;=0),1,0)</x:f>
        <x:v>0</x:v>
      </x:c>
    </x:row>
    <x:row r="248">
      <x:c r="A248" t="n">
        <x:f>A247+1</x:f>
        <x:v>231</x:v>
      </x:c>
      <x:c r="B248" t="n">
        <x:f>10^(9*A248/299)</x:f>
        <x:v>8977951.553033313</x:v>
      </x:c>
      <x:c r="C248" t="n">
        <x:f>SQRT($B$12*B248/($B$10*$B$13))</x:f>
        <x:v>0.00887653762061574</x:v>
      </x:c>
      <x:c r="D248" t="n">
        <x:f>SQRT($B$12*B248/($B$11*$B$14))</x:f>
        <x:v>0.025548320088613057</x:v>
      </x:c>
      <x:c r="E248" t="n">
        <x:f>SIN(C248*$B$7)</x:f>
        <x:v>0.729810546851842</x:v>
      </x:c>
      <x:c r="F248" t="n">
        <x:f>COS(C248*$B$7)</x:f>
        <x:v>0.6836494465029687</x:v>
      </x:c>
      <x:c r="G248" t="n">
        <x:f>SIN(D248*$B$8)</x:f>
        <x:v>0.40371958694278054</x:v>
      </x:c>
      <x:c r="H248" t="n">
        <x:f>COS(D248*$B$8)</x:f>
        <x:v>0.9148827767089894</x:v>
      </x:c>
      <x:c r="I248" t="n">
        <x:f>$B$12*B248*$B$9*E248*G248-3*$B$11*$B$14*C248*F248*G248-3*$B$11*$B$14*D248*H248*E248</x:f>
        <x:v>-2067800079.2155101</x:v>
      </x:c>
      <x:c r="J248" t="n">
        <x:f>IF(AND(I247&lt;0,I248&gt;=0),1,0)</x:f>
        <x:v>0</x:v>
      </x:c>
    </x:row>
    <x:row r="249">
      <x:c r="A249" t="n">
        <x:f>A248+1</x:f>
        <x:v>232</x:v>
      </x:c>
      <x:c r="B249" t="n">
        <x:f>10^(9*A249/299)</x:f>
        <x:v>9622271.173675135</x:v>
      </x:c>
      <x:c r="C249" t="n">
        <x:f>SQRT($B$12*B249/($B$10*$B$13))</x:f>
        <x:v>0.009189539847190814</x:v>
      </x:c>
      <x:c r="D249" t="n">
        <x:f>SQRT($B$12*B249/($B$11*$B$14))</x:f>
        <x:v>0.026449198495799246</x:v>
      </x:c>
      <x:c r="E249" t="n">
        <x:f>SIN(C249*$B$7)</x:f>
        <x:v>0.8764536070637848</x:v>
      </x:c>
      <x:c r="F249" t="n">
        <x:f>COS(C249*$B$7)</x:f>
        <x:v>0.4814863182530534</x:v>
      </x:c>
      <x:c r="G249" t="n">
        <x:f>SIN(D249*$B$8)</x:f>
        <x:v>0.9678298034709558</x:v>
      </x:c>
      <x:c r="H249" t="n">
        <x:f>COS(D249*$B$8)</x:f>
        <x:v>0.25160578592983707</x:v>
      </x:c>
      <x:c r="I249" t="n">
        <x:f>$B$12*B249*$B$9*E249*G249-3*$B$11*$B$14*C249*F249*G249-3*$B$11*$B$14*D249*H249*E249</x:f>
        <x:v>-180865696.29198623</x:v>
      </x:c>
      <x:c r="J249" t="n">
        <x:f>IF(AND(I248&lt;0,I249&gt;=0),1,0)</x:f>
        <x:v>0</x:v>
      </x:c>
    </x:row>
    <x:row r="250">
      <x:c r="A250" t="n">
        <x:f>A249+1</x:f>
        <x:v>233</x:v>
      </x:c>
      <x:c r="B250" t="n">
        <x:f>10^(9*A250/299)</x:f>
        <x:v>10312831.606721848</x:v>
      </x:c>
      <x:c r="C250" t="n">
        <x:f>SQRT($B$12*B250/($B$10*$B$13))</x:f>
        <x:v>0.009513579079187172</x:v>
      </x:c>
      <x:c r="D250" t="n">
        <x:f>SQRT($B$12*B250/($B$11*$B$14))</x:f>
        <x:v>0.027381843449737608</x:v>
      </x:c>
      <x:c r="E250" t="n">
        <x:f>SIN(C250*$B$7)</x:f>
        <x:v>0.9705920084099834</x:v>
      </x:c>
      <x:c r="F250" t="n">
        <x:f>COS(C250*$B$7)</x:f>
        <x:v>0.24073045758830516</x:v>
      </x:c>
      <x:c r="G250" t="n">
        <x:f>SIN(D250*$B$8)</x:f>
        <x:v>0.7786368443206569</x:v>
      </x:c>
      <x:c r="H250" t="n">
        <x:f>COS(D250*$B$8)</x:f>
        <x:v>-0.6274748318987535</x:v>
      </x:c>
      <x:c r="I250" t="n">
        <x:f>$B$12*B250*$B$9*E250*G250-3*$B$11*$B$14*C250*F250*G250-3*$B$11*$B$14*D250*H250*E250</x:f>
        <x:v>2866570233.041159</x:v>
      </x:c>
      <x:c r="J250" t="n">
        <x:f>IF(AND(I249&lt;0,I250&gt;=0),1,0)</x:f>
        <x:v>1</x:v>
      </x:c>
    </x:row>
    <x:row r="251">
      <x:c r="A251" t="n">
        <x:f>A250+1</x:f>
        <x:v>234</x:v>
      </x:c>
      <x:c r="B251" t="n">
        <x:f>10^(9*A251/299)</x:f>
        <x:v>11052951.411260221</x:v>
      </x:c>
      <x:c r="C251" t="n">
        <x:f>SQRT($B$12*B251/($B$10*$B$13))</x:f>
        <x:v>0.009849044500701048</x:v>
      </x:c>
      <x:c r="D251" t="n">
        <x:f>SQRT($B$12*B251/($B$11*$B$14))</x:f>
        <x:v>0.028347375094372653</x:v>
      </x:c>
      <x:c r="E251" t="n">
        <x:f>SIN(C251*$B$7)</x:f>
        <x:v>0.9996811355330267</x:v>
      </x:c>
      <x:c r="F251" t="n">
        <x:f>COS(C251*$B$7)</x:f>
        <x:v>-0.02525128233175932</x:v>
      </x:c>
      <x:c r="G251" t="n">
        <x:f>SIN(D251*$B$8)</x:f>
        <x:v>-0.07297628334851107</x:v>
      </x:c>
      <x:c r="H251" t="n">
        <x:f>COS(D251*$B$8)</x:f>
        <x:v>-0.9973336763935317</x:v>
      </x:c>
      <x:c r="I251" t="n">
        <x:f>$B$12*B251*$B$9*E251*G251-3*$B$11*$B$14*C251*F251*G251-3*$B$11*$B$14*D251*H251*E251</x:f>
        <x:v>3390646068.585778</x:v>
      </x:c>
      <x:c r="J251" t="n">
        <x:f>IF(AND(I250&lt;0,I251&gt;=0),1,0)</x:f>
        <x:v>0</x:v>
      </x:c>
    </x:row>
    <x:row r="252">
      <x:c r="A252" t="n">
        <x:f>A251+1</x:f>
        <x:v>235</x:v>
      </x:c>
      <x:c r="B252" t="n">
        <x:f>10^(9*A252/299)</x:f>
        <x:v>11846187.309026849</x:v>
      </x:c>
      <x:c r="C252" t="n">
        <x:f>SQRT($B$12*B252/($B$10*$B$13))</x:f>
        <x:v>0.010196339019139935</x:v>
      </x:c>
      <x:c r="D252" t="n">
        <x:f>SQRT($B$12*B252/($B$11*$B$14))</x:f>
        <x:v>0.029346953071881628</x:v>
      </x:c>
      <x:c r="E252" t="n">
        <x:f>SIN(C252*$B$7)</x:f>
        <x:v>0.954418897278088</x:v>
      </x:c>
      <x:c r="F252" t="n">
        <x:f>COS(C252*$B$7)</x:f>
        <x:v>-0.29847038130856207</x:v>
      </x:c>
      <x:c r="G252" t="n">
        <x:f>SIN(D252*$B$8)</x:f>
        <x:v>-0.8784550303479542</x:v>
      </x:c>
      <x:c r="H252" t="n">
        <x:f>COS(D252*$B$8)</x:f>
        <x:v>-0.4778250303786678</x:v>
      </x:c>
      <x:c r="I252" t="n">
        <x:f>$B$12*B252*$B$9*E252*G252-3*$B$11*$B$14*C252*F252*G252-3*$B$11*$B$14*D252*H252*E252</x:f>
        <x:v>22259849.876175165</x:v>
      </x:c>
      <x:c r="J252" t="n">
        <x:f>IF(AND(I251&lt;0,I252&gt;=0),1,0)</x:f>
        <x:v>0</x:v>
      </x:c>
    </x:row>
    <x:row r="253">
      <x:c r="A253" t="n">
        <x:f>A252+1</x:f>
        <x:v>236</x:v>
      </x:c>
      <x:c r="B253" t="n">
        <x:f>10^(9*A253/299)</x:f>
        <x:v>12696351.276599728</x:v>
      </x:c>
      <x:c r="C253" t="n">
        <x:f>SQRT($B$12*B253/($B$10*$B$13))</x:f>
        <x:v>0.010555879749130513</x:v>
      </x:c>
      <x:c r="D253" t="n">
        <x:f>SQRT($B$12*B253/($B$11*$B$14))</x:f>
        <x:v>0.03038177791545118</x:v>
      </x:c>
      <x:c r="E253" t="n">
        <x:f>SIN(C253*$B$7)</x:f>
        <x:v>0.8305386778161853</x:v>
      </x:c>
      <x:c r="F253" t="n">
        <x:f>COS(C253*$B$7)</x:f>
        <x:v>-0.5569609543328354</x:v>
      </x:c>
      <x:c r="G253" t="n">
        <x:f>SIN(D253*$B$8)</x:f>
        <x:v>-0.8594273935507061</x:v>
      </x:c>
      <x:c r="H253" t="n">
        <x:f>COS(D253*$B$8)</x:f>
        <x:v>0.511257816776076</x:v>
      </x:c>
      <x:c r="I253" t="n">
        <x:f>$B$12*B253*$B$9*E253*G253-3*$B$11*$B$14*C253*F253*G253-3*$B$11*$B$14*D253*H253*E253</x:f>
        <x:v>-3411959083.3803997</x:v>
      </x:c>
      <x:c r="J253" t="n">
        <x:f>IF(AND(I252&lt;0,I253&gt;=0),1,0)</x:f>
        <x:v>0</x:v>
      </x:c>
    </x:row>
    <x:row r="254">
      <x:c r="A254" t="n">
        <x:f>A253+1</x:f>
        <x:v>237</x:v>
      </x:c>
      <x:c r="B254" t="n">
        <x:f>10^(9*A254/299)</x:f>
        <x:v>13607528.86424333</x:v>
      </x:c>
      <x:c r="C254" t="n">
        <x:f>SQRT($B$12*B254/($B$10*$B$13))</x:f>
        <x:v>0.010928098513490057</x:v>
      </x:c>
      <x:c r="D254" t="n">
        <x:f>SQRT($B$12*B254/($B$11*$B$14))</x:f>
        <x:v>0.03145309249116589</x:v>
      </x:c>
      <x:c r="E254" t="n">
        <x:f>SIN(C254*$B$7)</x:f>
        <x:v>0.6305791168144003</x:v>
      </x:c>
      <x:c r="F254" t="n">
        <x:f>COS(C254*$B$7)</x:f>
        <x:v>-0.7761249753986602</x:v>
      </x:c>
      <x:c r="G254" t="n">
        <x:f>SIN(D254*$B$8)</x:f>
        <x:v>0.037157399585556534</x:v>
      </x:c>
      <x:c r="H254" t="n">
        <x:f>COS(D254*$B$8)</x:f>
        <x:v>0.9993094253813677</x:v>
      </x:c>
      <x:c r="I254" t="n">
        <x:f>$B$12*B254*$B$9*E254*G254-3*$B$11*$B$14*C254*F254*G254-3*$B$11*$B$14*D254*H254*E254</x:f>
        <x:v>-2372706807.628708</x:v>
      </x:c>
      <x:c r="J254" t="n">
        <x:f>IF(AND(I253&lt;0,I254&gt;=0),1,0)</x:f>
        <x:v>0</x:v>
      </x:c>
    </x:row>
    <x:row r="255">
      <x:c r="A255" t="n">
        <x:f>A254+1</x:f>
        <x:v>238</x:v>
      </x:c>
      <x:c r="B255" t="n">
        <x:f>10^(9*A255/299)</x:f>
        <x:v>14584098.829439864</x:v>
      </x:c>
      <x:c r="C255" t="n">
        <x:f>SQRT($B$12*B255/($B$10*$B$13))</x:f>
        <x:v>0.011313442361862873</x:v>
      </x:c>
      <x:c r="D255" t="n">
        <x:f>SQRT($B$12*B255/($B$11*$B$14))</x:f>
        <x:v>0.03256218349074009</x:v>
      </x:c>
      <x:c r="E255" t="n">
        <x:f>SIN(C255*$B$7)</x:f>
        <x:v>0.3653642456912258</x:v>
      </x:c>
      <x:c r="F255" t="n">
        <x:f>COS(C255*$B$7)</x:f>
        <x:v>-0.9308646346115431</x:v>
      </x:c>
      <x:c r="G255" t="n">
        <x:f>SIN(D255*$B$8)</x:f>
        <x:v>0.9112285628125801</x:v>
      </x:c>
      <x:c r="H255" t="n">
        <x:f>COS(D255*$B$8)</x:f>
        <x:v>0.4119010880229861</x:v>
      </x:c>
      <x:c r="I255" t="n">
        <x:f>$B$12*B255*$B$9*E255*G255-3*$B$11*$B$14*C255*F255*G255-3*$B$11*$B$14*D255*H255*E255</x:f>
        <x:v>1218612899.882506</x:v>
      </x:c>
      <x:c r="J255" t="n">
        <x:f>IF(AND(I254&lt;0,I255&gt;=0),1,0)</x:f>
        <x:v>1</x:v>
      </x:c>
    </x:row>
    <x:row r="256">
      <x:c r="A256" t="n">
        <x:f>A255+1</x:f>
        <x:v>239</x:v>
      </x:c>
      <x:c r="B256" t="n">
        <x:f>10^(9*A256/299)</x:f>
        <x:v>15630754.179458175</x:v>
      </x:c>
      <x:c r="C256" t="n">
        <x:f>SQRT($B$12*B256/($B$10*$B$13))</x:f>
        <x:v>0.011712374107644873</x:v>
      </x:c>
      <x:c r="D256" t="n">
        <x:f>SQRT($B$12*B256/($B$11*$B$14))</x:f>
        <x:v>0.03371038297688622</x:v>
      </x:c>
      <x:c r="E256" t="n">
        <x:f>SIN(C256*$B$7)</x:f>
        <x:v>0.05485113273458676</x:v>
      </x:c>
      <x:c r="F256" t="n">
        <x:f>COS(C256*$B$7)</x:f>
        <x:v>-0.9984945434191079</x:v>
      </x:c>
      <x:c r="G256" t="n">
        <x:f>SIN(D256*$B$8)</x:f>
        <x:v>0.7493872755796359</x:v>
      </x:c>
      <x:c r="H256" t="n">
        <x:f>COS(D256*$B$8)</x:f>
        <x:v>-0.6621319439502453</x:v>
      </x:c>
      <x:c r="I256" t="n">
        <x:f>$B$12*B256*$B$9*E256*G256-3*$B$11*$B$14*C256*F256*G256-3*$B$11*$B$14*D256*H256*E256</x:f>
        <x:v>1320795138.9295547</x:v>
      </x:c>
      <x:c r="J256" t="n">
        <x:f>IF(AND(I255&lt;0,I256&gt;=0),1,0)</x:f>
        <x:v>0</x:v>
      </x:c>
    </x:row>
    <x:row r="257">
      <x:c r="A257" t="n">
        <x:f>A256+1</x:f>
        <x:v>240</x:v>
      </x:c>
      <x:c r="B257" t="n">
        <x:f>10^(9*A257/299)</x:f>
        <x:v>16752524.724082138</x:v>
      </x:c>
      <x:c r="C257" t="n">
        <x:f>SQRT($B$12*B257/($B$10*$B$13))</x:f>
        <x:v>0.012125372883840977</x:v>
      </x:c>
      <x:c r="D257" t="n">
        <x:f>SQRT($B$12*B257/($B$11*$B$14))</x:f>
        <x:v>0.034899069983175456</x:v>
      </x:c>
      <x:c r="E257" t="n">
        <x:f>SIN(C257*$B$7)</x:f>
        <x:v>-0.27204769456533934</x:v>
      </x:c>
      <x:c r="F257" t="n">
        <x:f>COS(C257*$B$7)</x:f>
        <x:v>-0.9622837688965162</x:v>
      </x:c>
      <x:c r="G257" t="n">
        <x:f>SIN(D257*$B$8)</x:f>
        <x:v>-0.334948708527525</x:v>
      </x:c>
      <x:c r="H257" t="n">
        <x:f>COS(D257*$B$8)</x:f>
        <x:v>-0.9422363624143059</x:v>
      </x:c>
      <x:c r="I257" t="n">
        <x:f>$B$12*B257*$B$9*E257*G257-3*$B$11*$B$14*C257*F257*G257-3*$B$11*$B$14*D257*H257*E257</x:f>
        <x:v>-1390873916.359128</x:v>
      </x:c>
      <x:c r="J257" t="n">
        <x:f>IF(AND(I256&lt;0,I257&gt;=0),1,0)</x:f>
        <x:v>0</x:v>
      </x:c>
    </x:row>
    <x:row r="258">
      <x:c r="A258" t="n">
        <x:f>A257+1</x:f>
        <x:v>241</x:v>
      </x:c>
      <x:c r="B258" t="n">
        <x:f>10^(9*A258/299)</x:f>
        <x:v>17954801.246878304</x:v>
      </x:c>
      <x:c r="C258" t="n">
        <x:f>SQRT($B$12*B258/($B$10*$B$13))</x:f>
        <x:v>0.01255293471852309</x:v>
      </x:c>
      <x:c r="D258" t="n">
        <x:f>SQRT($B$12*B258/($B$11*$B$14))</x:f>
        <x:v>0.03612967217031242</x:v>
      </x:c>
      <x:c r="E258" t="n">
        <x:f>SIN(C258*$B$7)</x:f>
        <x:v>-0.579055570754029</x:v>
      </x:c>
      <x:c r="F258" t="n">
        <x:f>COS(C258*$B$7)</x:f>
        <x:v>-0.8152880754547596</x:v>
      </x:c>
      <x:c r="G258" t="n">
        <x:f>SIN(D258*$B$8)</x:f>
        <x:v>-0.9999990797450629</x:v>
      </x:c>
      <x:c r="H258" t="n">
        <x:f>COS(D258*$B$8)</x:f>
        <x:v>0.0013566536136396096</x:v>
      </x:c>
      <x:c r="I258" t="n">
        <x:f>$B$12*B258*$B$9*E258*G258-3*$B$11*$B$14*C258*F258*G258-3*$B$11*$B$14*D258*H258*E258</x:f>
        <x:v>101170582.31820293</x:v>
      </x:c>
      <x:c r="J258" t="n">
        <x:f>IF(AND(I257&lt;0,I258&gt;=0),1,0)</x:f>
        <x:v>1</x:v>
      </x:c>
    </x:row>
    <x:row r="259">
      <x:c r="A259" t="n">
        <x:f>A258+1</x:f>
        <x:v>242</x:v>
      </x:c>
      <x:c r="B259" t="n">
        <x:f>10^(9*A259/299)</x:f>
        <x:v>19243361.411159802</x:v>
      </x:c>
      <x:c r="C259" t="n">
        <x:f>SQRT($B$12*B259/($B$10*$B$13))</x:f>
        <x:v>0.012995573130579606</x:v>
      </x:c>
      <x:c r="D259" t="n">
        <x:f>SQRT($B$12*B259/($B$11*$B$14))</x:f>
        <x:v>0.03740366754081262</x:v>
      </x:c>
      <x:c r="E259" t="n">
        <x:f>SIN(C259*$B$7)</x:f>
        <x:v>-0.8258345586217383</x:v>
      </x:c>
      <x:c r="F259" t="n">
        <x:f>COS(C259*$B$7)</x:f>
        <x:v>-0.5639124770618564</x:v>
      </x:c>
      <x:c r="G259" t="n">
        <x:f>SIN(D259*$B$8)</x:f>
        <x:v>-0.29116493077187233</x:v>
      </x:c>
      <x:c r="H259" t="n">
        <x:f>COS(D259*$B$8)</x:f>
        <x:v>0.9566728715128336</x:v>
      </x:c>
      <x:c r="I259" t="n">
        <x:f>$B$12*B259*$B$9*E259*G259-3*$B$11*$B$14*C259*F259*G259-3*$B$11*$B$14*D259*H259*E259</x:f>
        <x:v>4001354267.03276</x:v>
      </x:c>
      <x:c r="J259" t="n">
        <x:f>IF(AND(I258&lt;0,I259&gt;=0),1,0)</x:f>
        <x:v>0</x:v>
      </x:c>
    </x:row>
    <x:row r="260">
      <x:c r="A260" t="n">
        <x:f>A259+1</x:f>
        <x:v>243</x:v>
      </x:c>
      <x:c r="B260" t="n">
        <x:f>10^(9*A260/299)</x:f>
        <x:v>20624397.525140926</x:v>
      </x:c>
      <x:c r="C260" t="n">
        <x:f>SQRT($B$12*B260/($B$10*$B$13))</x:f>
        <x:v>0.013453819746472218</x:v>
      </x:c>
      <x:c r="D260" t="n">
        <x:f>SQRT($B$12*B260/($B$11*$B$14))</x:f>
        <x:v>0.038722586214142825</x:v>
      </x:c>
      <x:c r="E260" t="n">
        <x:f>SIN(C260*$B$7)</x:f>
        <x:v>-0.9730891485300072</x:v>
      </x:c>
      <x:c r="F260" t="n">
        <x:f>COS(C260*$B$7)</x:f>
        <x:v>-0.23042896739157073</x:v>
      </x:c>
      <x:c r="G260" t="n">
        <x:f>SIN(D260*$B$8)</x:f>
        <x:v>0.8539212428074912</x:v>
      </x:c>
      <x:c r="H260" t="n">
        <x:f>COS(D260*$B$8)</x:f>
        <x:v>0.5204022589133426</x:v>
      </x:c>
      <x:c r="I260" t="n">
        <x:f>$B$12*B260*$B$9*E260*G260-3*$B$11*$B$14*C260*F260*G260-3*$B$11*$B$14*D260*H260*E260</x:f>
        <x:v>505850765.432791</x:v>
      </x:c>
      <x:c r="J260" t="n">
        <x:f>IF(AND(I259&lt;0,I260&gt;=0),1,0)</x:f>
        <x:v>0</x:v>
      </x:c>
    </x:row>
    <x:row r="261">
      <x:c r="A261" t="n">
        <x:f>A260+1</x:f>
        <x:v>244</x:v>
      </x:c>
      <x:c r="B261" t="n">
        <x:f>10^(9*A261/299)</x:f>
        <x:v>22104546.29971024</x:v>
      </x:c>
      <x:c r="C261" t="n">
        <x:f>SQRT($B$12*B261/($B$10*$B$13))</x:f>
        <x:v>0.013928224938740574</x:v>
      </x:c>
      <x:c r="D261" t="n">
        <x:f>SQRT($B$12*B261/($B$11*$B$14))</x:f>
        <x:v>0.04008801226445581</x:v>
      </x:c>
      <x:c r="E261" t="n">
        <x:f>SIN(C261*$B$7)</x:f>
        <x:v>-0.9892141126497681</x:v>
      </x:c>
      <x:c r="F261" t="n">
        <x:f>COS(C261*$B$7)</x:f>
        <x:v>0.14647675356360093</x:v>
      </x:c>
      <x:c r="G261" t="n">
        <x:f>SIN(D261*$B$8)</x:f>
        <x:v>0.6836061636889412</x:v>
      </x:c>
      <x:c r="H261" t="n">
        <x:f>COS(D261*$B$8)</x:f>
        <x:v>-0.7298510895836825</x:v>
      </x:c>
      <x:c r="I261" t="n">
        <x:f>$B$12*B261*$B$9*E261*G261-3*$B$11*$B$14*C261*F261*G261-3*$B$11*$B$14*D261*H261*E261</x:f>
        <x:v>-5717446662.067511</x:v>
      </x:c>
      <x:c r="J261" t="n">
        <x:f>IF(AND(I260&lt;0,I261&gt;=0),1,0)</x:f>
        <x:v>0</x:v>
      </x:c>
    </x:row>
    <x:row r="262">
      <x:c r="A262" t="n">
        <x:f>A261+1</x:f>
        <x:v>245</x:v>
      </x:c>
      <x:c r="B262" t="n">
        <x:f>10^(9*A262/299)</x:f>
        <x:v>23690920.741826322</x:v>
      </x:c>
      <x:c r="C262" t="n">
        <x:f>SQRT($B$12*B262/($B$10*$B$13))</x:f>
        <x:v>0.014419358487021727</x:v>
      </x:c>
      <x:c r="D262" t="n">
        <x:f>SQRT($B$12*B262/($B$11*$B$14))</x:f>
        <x:v>0.0415015856231268</x:v>
      </x:c>
      <x:c r="E262" t="n">
        <x:f>SIN(C262*$B$7)</x:f>
        <x:v>-0.857753663924199</x:v>
      </x:c>
      <x:c r="F262" t="n">
        <x:f>COS(C262*$B$7)</x:f>
        <x:v>0.5140609419364714</x:v>
      </x:c>
      <x:c r="G262" t="n">
        <x:f>SIN(D262*$B$8)</x:f>
        <x:v>-0.6138126969343332</x:v>
      </x:c>
      <x:c r="H262" t="n">
        <x:f>COS(D262*$B$8)</x:f>
        <x:v>-0.7894516914176576</x:v>
      </x:c>
      <x:c r="I262" t="n">
        <x:f>$B$12*B262*$B$9*E262*G262-3*$B$11*$B$14*C262*F262*G262-3*$B$11*$B$14*D262*H262*E262</x:f>
        <x:v>-1278593371.7318878</x:v>
      </x:c>
      <x:c r="J262" t="n">
        <x:f>IF(AND(I261&lt;0,I262&gt;=0),1,0)</x:f>
        <x:v>0</x:v>
      </x:c>
    </x:row>
    <x:row r="263">
      <x:c r="A263" t="n">
        <x:f>A262+1</x:f>
        <x:v>246</x:v>
      </x:c>
      <x:c r="B263" t="n">
        <x:f>10^(9*A263/299)</x:f>
        <x:v>25391144.33680347</x:v>
      </x:c>
      <x:c r="C263" t="n">
        <x:f>SQRT($B$12*B263/($B$10*$B$13))</x:f>
        <x:v>0.014927810262378357</x:v>
      </x:c>
      <x:c r="D263" t="n">
        <x:f>SQRT($B$12*B263/($B$11*$B$14))</x:f>
        <x:v>0.0429650040483769</x:v>
      </x:c>
      <x:c r="E263" t="n">
        <x:f>SIN(C263*$B$7)</x:f>
        <x:v>-0.5843853500988662</x:v>
      </x:c>
      <x:c r="F263" t="n">
        <x:f>COS(C263*$B$7)</x:f>
        <x:v>0.8114762859072504</x:v>
      </x:c>
      <x:c r="G263" t="n">
        <x:f>SIN(D263*$B$8)</x:f>
        <x:v>-0.8506882035474971</x:v>
      </x:c>
      <x:c r="H263" t="n">
        <x:f>COS(D263*$B$8)</x:f>
        <x:v>0.5256706006094808</x:v>
      </x:c>
      <x:c r="I263" t="n">
        <x:f>$B$12*B263*$B$9*E263*G263-3*$B$11*$B$14*C263*F263*G263-3*$B$11*$B$14*D263*H263*E263</x:f>
        <x:v>4566286142.46865</x:v>
      </x:c>
      <x:c r="J263" t="n">
        <x:f>IF(AND(I262&lt;0,I263&gt;=0),1,0)</x:f>
        <x:v>1</x:v>
      </x:c>
    </x:row>
    <x:row r="264">
      <x:c r="A264" t="n">
        <x:f>A263+1</x:f>
        <x:v>247</x:v>
      </x:c>
      <x:c r="B264" t="n">
        <x:f>10^(9*A264/299)</x:f>
        <x:v>27213387.683753088</x:v>
      </x:c>
      <x:c r="C264" t="n">
        <x:f>SQRT($B$12*B264/($B$10*$B$13))</x:f>
        <x:v>0.015454190935757462</x:v>
      </x:c>
      <x:c r="D264" t="n">
        <x:f>SQRT($B$12*B264/($B$11*$B$14))</x:f>
        <x:v>0.044480025164348486</x:v>
      </x:c>
      <x:c r="E264" t="n">
        <x:f>SIN(C264*$B$7)</x:f>
        <x:v>-0.20162613097548715</x:v>
      </x:c>
      <x:c r="F264" t="n">
        <x:f>COS(C264*$B$7)</x:f>
        <x:v>0.9794625584001951</x:v>
      </x:c>
      <x:c r="G264" t="n">
        <x:f>SIN(D264*$B$8)</x:f>
        <x:v>0.47743044772768983</x:v>
      </x:c>
      <x:c r="H264" t="n">
        <x:f>COS(D264*$B$8)</x:f>
        <x:v>0.8786695440167126</x:v>
      </x:c>
      <x:c r="I264" t="n">
        <x:f>$B$12*B264*$B$9*E264*G264-3*$B$11*$B$14*C264*F264*G264-3*$B$11*$B$14*D264*H264*E264</x:f>
        <x:v>-262935828.7297864</x:v>
      </x:c>
      <x:c r="J264" t="n">
        <x:f>IF(AND(I263&lt;0,I264&gt;=0),1,0)</x:f>
        <x:v>0</x:v>
      </x:c>
    </x:row>
    <x:row r="265">
      <x:c r="A265" t="n">
        <x:f>A264+1</x:f>
        <x:v>248</x:v>
      </x:c>
      <x:c r="B265" t="n">
        <x:f>10^(9*A265/299)</x:f>
        <x:v>29166407.760237068</x:v>
      </x:c>
      <x:c r="C265" t="n">
        <x:f>SQRT($B$12*B265/($B$10*$B$13))</x:f>
        <x:v>0.015999132711430674</x:v>
      </x:c>
      <x:c r="D265" t="n">
        <x:f>SQRT($B$12*B265/($B$11*$B$14))</x:f>
        <x:v>0.046048468572082356</x:v>
      </x:c>
      <x:c r="E265" t="n">
        <x:f>SIN(C265*$B$7)</x:f>
        <x:v>0.23083478817985895</x:v>
      </x:c>
      <x:c r="F265" t="n">
        <x:f>COS(C265*$B$7)</x:f>
        <x:v>0.9729929601831453</x:v>
      </x:c>
      <x:c r="G265" t="n">
        <x:f>SIN(D265*$B$8)</x:f>
        <x:v>0.8797904659245677</x:v>
      </x:c>
      <x:c r="H265" t="n">
        <x:f>COS(D265*$B$8)</x:f>
        <x:v>-0.4753616897355446</x:v>
      </x:c>
      <x:c r="I265" t="n">
        <x:f>$B$12*B265*$B$9*E265*G265-3*$B$11*$B$14*C265*F265*G265-3*$B$11*$B$14*D265*H265*E265</x:f>
        <x:v>-292487616.5975847</x:v>
      </x:c>
      <x:c r="J265" t="n">
        <x:f>IF(AND(I264&lt;0,I265&gt;=0),1,0)</x:f>
        <x:v>0</x:v>
      </x:c>
    </x:row>
    <x:row r="266">
      <x:c r="A266" t="n">
        <x:f>A265+1</x:f>
        <x:v>249</x:v>
      </x:c>
      <x:c r="B266" t="n">
        <x:f>10^(9*A266/299)</x:f>
        <x:v>31259590.00482278</x:v>
      </x:c>
      <x:c r="C266" t="n">
        <x:f>SQRT($B$12*B266/($B$10*$B$13))</x:f>
        <x:v>0.016563290086296888</x:v>
      </x:c>
      <x:c r="D266" t="n">
        <x:f>SQRT($B$12*B266/($B$11*$B$14))</x:f>
        <x:v>0.047672218034931345</x:v>
      </x:c>
      <x:c r="E266" t="n">
        <x:f>SIN(C266*$B$7)</x:f>
        <x:v>0.6321008954586602</x:v>
      </x:c>
      <x:c r="F266" t="n">
        <x:f>COS(C266*$B$7)</x:f>
        <x:v>0.7748860935391472</x:v>
      </x:c>
      <x:c r="G266" t="n">
        <x:f>SIN(D266*$B$8)</x:f>
        <x:v>-0.5212612751928885</x:v>
      </x:c>
      <x:c r="H266" t="n">
        <x:f>COS(D266*$B$8)</x:f>
        <x:v>-0.8533971425920548</x:v>
      </x:c>
      <x:c r="I266" t="n">
        <x:f>$B$12*B266*$B$9*E266*G266-3*$B$11*$B$14*C266*F266*G266-3*$B$11*$B$14*D266*H266*E266</x:f>
        <x:v>2659812072.939588</x:v>
      </x:c>
      <x:c r="J266" t="n">
        <x:f>IF(AND(I265&lt;0,I266&gt;=0),1,0)</x:f>
        <x:v>1</x:v>
      </x:c>
    </x:row>
    <x:row r="267">
      <x:c r="A267" t="n">
        <x:f>A266+1</x:f>
        <x:v>250</x:v>
      </x:c>
      <x:c r="B267" t="n">
        <x:f>10^(9*A267/299)</x:f>
        <x:v>33502993.419772297</x:v>
      </x:c>
      <x:c r="C267" t="n">
        <x:f>SQRT($B$12*B267/($B$10*$B$13))</x:f>
        <x:v>0.017147340635959307</x:v>
      </x:c>
      <x:c r="D267" t="n">
        <x:f>SQRT($B$12*B267/($B$11*$B$14))</x:f>
        <x:v>0.049353223741035804</x:v>
      </x:c>
      <x:c r="E267" t="n">
        <x:f>SIN(C267*$B$7)</x:f>
        <x:v>0.9133764155785904</x:v>
      </x:c>
      <x:c r="F267" t="n">
        <x:f>COS(C267*$B$7)</x:f>
        <x:v>0.407116105631804</x:v>
      </x:c>
      <x:c r="G267" t="n">
        <x:f>SIN(D267*$B$8)</x:f>
        <x:v>-0.7908880021573975</x:v>
      </x:c>
      <x:c r="H267" t="n">
        <x:f>COS(D267*$B$8)</x:f>
        <x:v>0.611960920356423</x:v>
      </x:c>
      <x:c r="I267" t="n">
        <x:f>$B$12*B267*$B$9*E267*G267-3*$B$11*$B$14*C267*F267*G267-3*$B$11*$B$14*D267*H267*E267</x:f>
        <x:v>-5907960514.400503</x:v>
      </x:c>
      <x:c r="J267" t="n">
        <x:f>IF(AND(I266&lt;0,I267&gt;=0),1,0)</x:f>
        <x:v>0</x:v>
      </x:c>
    </x:row>
    <x:row r="268">
      <x:c r="A268" t="n">
        <x:f>A267+1</x:f>
        <x:v>251</x:v>
      </x:c>
      <x:c r="B268" t="n">
        <x:f>10^(9*A268/299)</x:f>
        <x:v>35907398.91061055</x:v>
      </x:c>
      <x:c r="C268" t="n">
        <x:f>SQRT($B$12*B268/($B$10*$B$13))</x:f>
        <x:v>0.017751985828520795</x:v>
      </x:c>
      <x:c r="D268" t="n">
        <x:f>SQRT($B$12*B268/($B$11*$B$14))</x:f>
        <x:v>0.051093504645577326</x:v>
      </x:c>
      <x:c r="E268" t="n">
        <x:f>SIN(C268*$B$7)</x:f>
        <x:v>0.9979256384486289</x:v>
      </x:c>
      <x:c r="F268" t="n">
        <x:f>COS(C268*$B$7)</x:f>
        <x:v>-0.06437717085191212</x:v>
      </x:c>
      <x:c r="G268" t="n">
        <x:f>SIN(D268*$B$8)</x:f>
        <x:v>0.7365951514010436</x:v>
      </x:c>
      <x:c r="H268" t="n">
        <x:f>COS(D268*$B$8)</x:f>
        <x:v>0.6763339285681842</x:v>
      </x:c>
      <x:c r="I268" t="n">
        <x:f>$B$12*B268*$B$9*E268*G268-3*$B$11*$B$14*C268*F268*G268-3*$B$11*$B$14*D268*H268*E268</x:f>
        <x:v>-700473722.7248545</x:v>
      </x:c>
      <x:c r="J268" t="n">
        <x:f>IF(AND(I267&lt;0,I268&gt;=0),1,0)</x:f>
        <x:v>0</x:v>
      </x:c>
    </x:row>
    <x:row r="269">
      <x:c r="A269" t="n">
        <x:f>A268+1</x:f>
        <x:v>252</x:v>
      </x:c>
      <x:c r="B269" t="n">
        <x:f>10^(9*A269/299)</x:f>
        <x:v>38484361.09487433</x:v>
      </x:c>
      <x:c r="C269" t="n">
        <x:f>SQRT($B$12*B269/($B$10*$B$13))</x:f>
        <x:v>0.018377951867075224</x:v>
      </x:c>
      <x:c r="D269" t="n">
        <x:f>SQRT($B$12*B269/($B$11*$B$14))</x:f>
        <x:v>0.05289515089562502</x:v>
      </x:c>
      <x:c r="E269" t="n">
        <x:f>SIN(C269*$B$7)</x:f>
        <x:v>0.8444844179510693</x:v>
      </x:c>
      <x:c r="F269" t="n">
        <x:f>COS(C269*$B$7)</x:f>
        <x:v>-0.535580122706065</x:v>
      </x:c>
      <x:c r="G269" t="n">
        <x:f>SIN(D269*$B$8)</x:f>
        <x:v>0.48985569050627736</x:v>
      </x:c>
      <x:c r="H269" t="n">
        <x:f>COS(D269*$B$8)</x:f>
        <x:v>-0.8718035343347824</x:v>
      </x:c>
      <x:c r="I269" t="n">
        <x:f>$B$12*B269*$B$9*E269*G269-3*$B$11*$B$14*C269*F269*G269-3*$B$11*$B$14*D269*H269*E269</x:f>
        <x:v>7507204914.068068</x:v>
      </x:c>
      <x:c r="J269" t="n">
        <x:f>IF(AND(I268&lt;0,I269&gt;=0),1,0)</x:f>
        <x:v>1</x:v>
      </x:c>
    </x:row>
    <x:row r="270">
      <x:c r="A270" t="n">
        <x:f>A269+1</x:f>
        <x:v>253</x:v>
      </x:c>
      <x:c r="B270" t="n">
        <x:f>10^(9*A270/299)</x:f>
        <x:v>41246263.82901348</x:v>
      </x:c>
      <x:c r="C270" t="n">
        <x:f>SQRT($B$12*B270/($B$10*$B$13))</x:f>
        <x:v>0.01902599056190643</x:v>
      </x:c>
      <x:c r="D270" t="n">
        <x:f>SQRT($B$12*B270/($B$11*$B$14))</x:f>
        <x:v>0.054760326340485714</x:v>
      </x:c>
      <x:c r="E270" t="n">
        <x:f>SIN(C270*$B$7)</x:f>
        <x:v>0.4681277281269644</x:v>
      </x:c>
      <x:c r="F270" t="n">
        <x:f>COS(C270*$B$7)</x:f>
        <x:v>-0.8836608117137972</x:v>
      </x:c>
      <x:c r="G270" t="n">
        <x:f>SIN(D270*$B$8)</x:f>
        <x:v>-0.9764302406311492</x:v>
      </x:c>
      <x:c r="H270" t="n">
        <x:f>COS(D270*$B$8)</x:f>
        <x:v>-0.21583323465350737</x:v>
      </x:c>
      <x:c r="I270" t="n">
        <x:f>$B$12*B270*$B$9*E270*G270-3*$B$11*$B$14*C270*F270*G270-3*$B$11*$B$14*D270*H270*E270</x:f>
        <x:v>-3821798223.4393353</x:v>
      </x:c>
      <x:c r="J270" t="n">
        <x:f>IF(AND(I269&lt;0,I270&gt;=0),1,0)</x:f>
        <x:v>0</x:v>
      </x:c>
    </x:row>
    <x:row r="271">
      <x:c r="A271" t="n">
        <x:f>A270+1</x:f>
        <x:v>254</x:v>
      </x:c>
      <x:c r="B271" t="n">
        <x:f>10^(9*A271/299)</x:f>
        <x:v>44206379.7202853</x:v>
      </x:c>
      <x:c r="C271" t="n">
        <x:f>SQRT($B$12*B271/($B$10*$B$13))</x:f>
        <x:v>0.019696880233442567</x:v>
      </x:c>
      <x:c r="D271" t="n">
        <x:f>SQRT($B$12*B271/($B$11*$B$14))</x:f>
        <x:v>0.05669127113057389</x:v>
      </x:c>
      <x:c r="E271" t="n">
        <x:f>SIN(C271*$B$7)</x:f>
        <x:v>-0.04952065655712851</x:v>
      </x:c>
      <x:c r="F271" t="n">
        <x:f>COS(C271*$B$7)</x:f>
        <x:v>-0.9987730996448347</x:v>
      </x:c>
      <x:c r="G271" t="n">
        <x:f>SIN(D271*$B$8)</x:f>
        <x:v>0.14212053347005119</x:v>
      </x:c>
      <x:c r="H271" t="n">
        <x:f>COS(D271*$B$8)</x:f>
        <x:v>0.9898493592290637</x:v>
      </x:c>
      <x:c r="I271" t="n">
        <x:f>$B$12*B271*$B$9*E271*G271-3*$B$11*$B$14*C271*F271*G271-3*$B$11*$B$14*D271*H271*E271</x:f>
        <x:v>649283688.7465036</x:v>
      </x:c>
      <x:c r="J271" t="n">
        <x:f>IF(AND(I270&lt;0,I271&gt;=0),1,0)</x:f>
        <x:v>1</x:v>
      </x:c>
    </x:row>
    <x:row r="272">
      <x:c r="A272" t="n">
        <x:f>A271+1</x:f>
        <x:v>255</x:v>
      </x:c>
      <x:c r="B272" t="n">
        <x:f>10^(9*A272/299)</x:f>
        <x:v>47378933.90963144</x:v>
      </x:c>
      <x:c r="C272" t="n">
        <x:f>SQRT($B$12*B272/($B$10*$B$13))</x:f>
        <x:v>0.020391426647049998</x:v>
      </x:c>
      <x:c r="D272" t="n">
        <x:f>SQRT($B$12*B272/($B$11*$B$14))</x:f>
        <x:v>0.05869030440792173</x:v>
      </x:c>
      <x:c r="E272" t="n">
        <x:f>SIN(C272*$B$7)</x:f>
        <x:v>-0.5689085134871238</x:v>
      </x:c>
      <x:c r="F272" t="n">
        <x:f>COS(C272*$B$7)</x:f>
        <x:v>-0.8224008166836114</x:v>
      </x:c>
      <x:c r="G272" t="n">
        <x:f>SIN(D272*$B$8)</x:f>
        <x:v>0.8414472162489365</x:v>
      </x:c>
      <x:c r="H272" t="n">
        <x:f>COS(D272*$B$8)</x:f>
        <x:v>-0.5403393214147157</x:v>
      </x:c>
      <x:c r="I272" t="n">
        <x:f>$B$12*B272*$B$9*E272*G272-3*$B$11*$B$14*C272*F272*G272-3*$B$11*$B$14*D272*H272*E272</x:f>
        <x:v>-3463409466.345908</x:v>
      </x:c>
      <x:c r="J272" t="n">
        <x:f>IF(AND(I271&lt;0,I272&gt;=0),1,0)</x:f>
        <x:v>0</x:v>
      </x:c>
    </x:row>
    <x:row r="273">
      <x:c r="A273" t="n">
        <x:f>A272+1</x:f>
        <x:v>256</x:v>
      </x:c>
      <x:c r="B273" t="n">
        <x:f>10^(9*A273/299)</x:f>
        <x:v>50779172.432054035</x:v>
      </x:c>
      <x:c r="C273" t="n">
        <x:f>SQRT($B$12*B273/($B$10*$B$13))</x:f>
        <x:v>0.02111046398078984</x:v>
      </x:c>
      <x:c r="D273" t="n">
        <x:f>SQRT($B$12*B273/($B$11*$B$14))</x:f>
        <x:v>0.06075982709156176</x:v>
      </x:c>
      <x:c r="E273" t="n">
        <x:f>SIN(C273*$B$7)</x:f>
        <x:v>-0.9247613210691239</x:v>
      </x:c>
      <x:c r="F273" t="n">
        <x:f>COS(C273*$B$7)</x:f>
        <x:v>-0.38054763046757845</x:v>
      </x:c>
      <x:c r="G273" t="n">
        <x:f>SIN(D273*$B$8)</x:f>
        <x:v>-0.8769923713033384</x:v>
      </x:c>
      <x:c r="H273" t="n">
        <x:f>COS(D273*$B$8)</x:f>
        <x:v>-0.48050429829060565</x:v>
      </x:c>
      <x:c r="I273" t="n">
        <x:f>$B$12*B273*$B$9*E273*G273-3*$B$11*$B$14*C273*F273*G273-3*$B$11*$B$14*D273*H273*E273</x:f>
        <x:v>1190773030.3997326</x:v>
      </x:c>
      <x:c r="J273" t="n">
        <x:f>IF(AND(I272&lt;0,I273&gt;=0),1,0)</x:f>
        <x:v>1</x:v>
      </x:c>
    </x:row>
    <x:row r="274">
      <x:c r="A274" t="n">
        <x:f>A273+1</x:f>
        <x:v>257</x:v>
      </x:c>
      <x:c r="B274" t="n">
        <x:f>10^(9*A274/299)</x:f>
        <x:v>54423435.48300272</x:v>
      </x:c>
      <x:c r="C274" t="n">
        <x:f>SQRT($B$12*B274/($B$10*$B$13))</x:f>
        <x:v>0.02185485582729922</x:v>
      </x:c>
      <x:c r="D274" t="n">
        <x:f>SQRT($B$12*B274/($B$11*$B$14))</x:f>
        <x:v>0.06290232476112678</x:v>
      </x:c>
      <x:c r="E274" t="n">
        <x:f>SIN(C274*$B$7)</x:f>
        <x:v>-0.9790355173090128</x:v>
      </x:c>
      <x:c r="F274" t="n">
        <x:f>COS(C274*$B$7)</x:f>
        <x:v>0.20368960662604665</x:v>
      </x:c>
      <x:c r="G274" t="n">
        <x:f>SIN(D274*$B$8)</x:f>
        <x:v>0.07041337370313186</x:v>
      </x:c>
      <x:c r="H274" t="n">
        <x:f>COS(D274*$B$8)</x:f>
        <x:v>0.9975178979866692</x:v>
      </x:c>
      <x:c r="I274" t="n">
        <x:f>$B$12*B274*$B$9*E274*G274-3*$B$11*$B$14*C274*F274*G274-3*$B$11*$B$14*D274*H274*E274</x:f>
        <x:v>7073452646.9413</x:v>
      </x:c>
      <x:c r="J274" t="n">
        <x:f>IF(AND(I273&lt;0,I274&gt;=0),1,0)</x:f>
        <x:v>0</x:v>
      </x:c>
    </x:row>
    <x:row r="275">
      <x:c r="A275" t="n">
        <x:f>A274+1</x:f>
        <x:v>258</x:v>
      </x:c>
      <x:c r="B275" t="n">
        <x:f>10^(9*A275/299)</x:f>
        <x:v>58329235.942862004</x:v>
      </x:c>
      <x:c r="C275" t="n">
        <x:f>SQRT($B$12*B275/($B$10*$B$13))</x:f>
        <x:v>0.02262549623100059</x:v>
      </x:c>
      <x:c r="D275" t="n">
        <x:f>SQRT($B$12*B275/($B$11*$B$14))</x:f>
        <x:v>0.0651203706421304</x:v>
      </x:c>
      <x:c r="E275" t="n">
        <x:f>SIN(C275*$B$7)</x:f>
        <x:v>-0.6810231223779498</x:v>
      </x:c>
      <x:c r="F275" t="n">
        <x:f>COS(C275*$B$7)</x:f>
        <x:v>0.7322619113313132</x:v>
      </x:c>
      <x:c r="G275" t="n">
        <x:f>SIN(D275*$B$8)</x:f>
        <x:v>0.7533063529599876</x:v>
      </x:c>
      <x:c r="H275" t="n">
        <x:f>COS(D275*$B$8)</x:f>
        <x:v>-0.6576697792890612</x:v>
      </x:c>
      <x:c r="I275" t="n">
        <x:f>$B$12*B275*$B$9*E275*G275-3*$B$11*$B$14*C275*F275*G275-3*$B$11*$B$14*D275*H275*E275</x:f>
        <x:v>-9083155148.599953</x:v>
      </x:c>
      <x:c r="J275" t="n">
        <x:f>IF(AND(I274&lt;0,I275&gt;=0),1,0)</x:f>
        <x:v>0</x:v>
      </x:c>
    </x:row>
    <x:row r="276">
      <x:c r="A276" t="n">
        <x:f>A275+1</x:f>
        <x:v>259</x:v>
      </x:c>
      <x:c r="B276" t="n">
        <x:f>10^(9*A276/299)</x:f>
        <x:v>62515343.536897115</x:v>
      </x:c>
      <x:c r="C276" t="n">
        <x:f>SQRT($B$12*B276/($B$10*$B$13))</x:f>
        <x:v>0.02342331076188497</x:v>
      </x:c>
      <x:c r="D276" t="n">
        <x:f>SQRT($B$12*B276/($B$11*$B$14))</x:f>
        <x:v>0.06741662869651434</x:v>
      </x:c>
      <x:c r="E276" t="n">
        <x:f>SIN(C276*$B$7)</x:f>
        <x:v>-0.11068008385361279</x:v>
      </x:c>
      <x:c r="F276" t="n">
        <x:f>COS(C276*$B$7)</x:f>
        <x:v>0.9938560856774774</x:v>
      </x:c>
      <x:c r="G276" t="n">
        <x:f>SIN(D276*$B$8)</x:f>
        <x:v>-0.9918684600107972</x:v>
      </x:c>
      <x:c r="H276" t="n">
        <x:f>COS(D276*$B$8)</x:f>
        <x:v>-0.12726727008861957</x:v>
      </x:c>
      <x:c r="I276" t="n">
        <x:f>$B$12*B276*$B$9*E276*G276-3*$B$11*$B$14*C276*F276*G276-3*$B$11*$B$14*D276*H276*E276</x:f>
        <x:v>3641590250.9021297</x:v>
      </x:c>
      <x:c r="J276" t="n">
        <x:f>IF(AND(I275&lt;0,I276&gt;=0),1,0)</x:f>
        <x:v>1</x:v>
      </x:c>
    </x:row>
    <x:row r="277">
      <x:c r="A277" t="n">
        <x:f>A276+1</x:f>
        <x:v>260</x:v>
      </x:c>
      <x:c r="B277" t="n">
        <x:f>10^(9*A277/299)</x:f>
        <x:v>67001875.0350959</x:v>
      </x:c>
      <x:c r="C277" t="n">
        <x:f>SQRT($B$12*B277/($B$10*$B$13))</x:f>
        <x:v>0.024249257627158474</x:v>
      </x:c>
      <x:c r="D277" t="n">
        <x:f>SQRT($B$12*B277/($B$11*$B$14))</x:f>
        <x:v>0.0697938568221729</x:v>
      </x:c>
      <x:c r="E277" t="n">
        <x:f>SIN(C277*$B$7)</x:f>
        <x:v>0.5225594980014208</x:v>
      </x:c>
      <x:c r="F277" t="n">
        <x:f>COS(C277*$B$7)</x:f>
        <x:v>0.8526028213937032</x:v>
      </x:c>
      <x:c r="G277" t="n">
        <x:f>SIN(D277*$B$8)</x:f>
        <x:v>0.6278738389753983</x:v>
      </x:c>
      <x:c r="H277" t="n">
        <x:f>COS(D277*$B$8)</x:f>
        <x:v>0.7783151304775564</x:v>
      </x:c>
      <x:c r="I277" t="n">
        <x:f>$B$12*B277*$B$9*E277*G277-3*$B$11*$B$14*C277*F277*G277-3*$B$11*$B$14*D277*H277*E277</x:f>
        <x:v>-2235679365.712002</x:v>
      </x:c>
      <x:c r="J277" t="n">
        <x:f>IF(AND(I276&lt;0,I277&gt;=0),1,0)</x:f>
        <x:v>0</x:v>
      </x:c>
    </x:row>
    <x:row r="278">
      <x:c r="A278" t="n">
        <x:f>A277+1</x:f>
        <x:v>261</x:v>
      </x:c>
      <x:c r="B278" t="n">
        <x:f>10^(9*A278/299)</x:f>
        <x:v>71810390.92537357</x:v>
      </x:c>
      <x:c r="C278" t="n">
        <x:f>SQRT($B$12*B278/($B$10*$B$13))</x:f>
        <x:v>0.025104328822087598</x:v>
      </x:c>
      <x:c r="D278" t="n">
        <x:f>SQRT($B$12*B278/($B$11*$B$14))</x:f>
        <x:v>0.07225491016529913</x:v>
      </x:c>
      <x:c r="E278" t="n">
        <x:f>SIN(C278*$B$7)</x:f>
        <x:v>0.943787517036676</x:v>
      </x:c>
      <x:c r="F278" t="n">
        <x:f>COS(C278*$B$7)</x:f>
        <x:v>0.3305527532569439</x:v>
      </x:c>
      <x:c r="G278" t="n">
        <x:f>SIN(D278*$B$8)</x:f>
        <x:v>0.001720866416763855</x:v>
      </x:c>
      <x:c r="H278" t="n">
        <x:f>COS(D278*$B$8)</x:f>
        <x:v>-0.9999985193082916</x:v>
      </x:c>
      <x:c r="I278" t="n">
        <x:f>$B$12*B278*$B$9*E278*G278-3*$B$11*$B$14*C278*F278*G278-3*$B$11*$B$14*D278*H278*E278</x:f>
        <x:v>8455358536.967752</x:v>
      </x:c>
      <x:c r="J278" t="n">
        <x:f>IF(AND(I277&lt;0,I278&gt;=0),1,0)</x:f>
        <x:v>1</x:v>
      </x:c>
    </x:row>
    <x:row r="279">
      <x:c r="A279" t="n">
        <x:f>A278+1</x:f>
        <x:v>262</x:v>
      </x:c>
      <x:c r="B279" t="n">
        <x:f>10^(9*A279/299)</x:f>
        <x:v>76963999.0247115</x:v>
      </x:c>
      <x:c r="C279" t="n">
        <x:f>SQRT($B$12*B279/($B$10*$B$13))</x:f>
        <x:v>0.02598955132142523</x:v>
      </x:c>
      <x:c r="D279" t="n">
        <x:f>SQRT($B$12*B279/($B$11*$B$14))</x:f>
        <x:v>0.07480274454952957</x:v>
      </x:c>
      <x:c r="E279" t="n">
        <x:f>SIN(C279*$B$7)</x:f>
        <x:v>0.9318605182708922</x:v>
      </x:c>
      <x:c r="F279" t="n">
        <x:f>COS(C279*$B$7)</x:f>
        <x:v>-0.3628167229992358</x:v>
      </x:c>
      <x:c r="G279" t="n">
        <x:f>SIN(D279*$B$8)</x:f>
        <x:v>-0.5609054864221571</x:v>
      </x:c>
      <x:c r="H279" t="n">
        <x:f>COS(D279*$B$8)</x:f>
        <x:v>0.8278798435168737</x:v>
      </x:c>
      <x:c r="I279" t="n">
        <x:f>$B$12*B279*$B$9*E279*G279-3*$B$11*$B$14*C279*F279*G279-3*$B$11*$B$14*D279*H279*E279</x:f>
        <x:v>-13078490582.314323</x:v>
      </x:c>
      <x:c r="J279" t="n">
        <x:f>IF(AND(I278&lt;0,I279&gt;=0),1,0)</x:f>
        <x:v>0</x:v>
      </x:c>
    </x:row>
    <x:row r="280">
      <x:c r="A280" t="n">
        <x:f>A279+1</x:f>
        <x:v>263</x:v>
      </x:c>
      <x:c r="B280" t="n">
        <x:f>10^(9*A280/299)</x:f>
        <x:v>82487465.52614582</x:v>
      </x:c>
      <x:c r="C280" t="n">
        <x:f>SQRT($B$12*B280/($B$10*$B$13))</x:f>
        <x:v>0.02690598831284858</x:v>
      </x:c>
      <x:c r="D280" t="n">
        <x:f>SQRT($B$12*B280/($B$11*$B$14))</x:f>
        <x:v>0.0774404200260072</x:v>
      </x:c>
      <x:c r="E280" t="n">
        <x:f>SIN(C280*$B$7)</x:f>
        <x:v>0.4496361301509769</x:v>
      </x:c>
      <x:c r="F280" t="n">
        <x:f>COS(C280*$B$7)</x:f>
        <x:v>-0.8932118172431742</x:v>
      </x:c>
      <x:c r="G280" t="n">
        <x:f>SIN(D280*$B$8)</x:f>
        <x:v>0.8909333679363882</x:v>
      </x:c>
      <x:c r="H280" t="n">
        <x:f>COS(D280*$B$8)</x:f>
        <x:v>-0.4541340483794672</x:v>
      </x:c>
      <x:c r="I280" t="n">
        <x:f>$B$12*B280*$B$9*E280*G280-3*$B$11*$B$14*C280*F280*G280-3*$B$11*$B$14*D280*H280*E280</x:f>
        <x:v>8945167945.557934</x:v>
      </x:c>
      <x:c r="J280" t="n">
        <x:f>IF(AND(I279&lt;0,I280&gt;=0),1,0)</x:f>
        <x:v>1</x:v>
      </x:c>
    </x:row>
    <x:row r="281">
      <x:c r="A281" t="n">
        <x:f>A280+1</x:f>
        <x:v>264</x:v>
      </x:c>
      <x:c r="B281" t="n">
        <x:f>10^(9*A281/299)</x:f>
        <x:v>88407334.01525062</x:v>
      </x:c>
      <x:c r="C281" t="n">
        <x:f>SQRT($B$12*B281/($B$10*$B$13))</x:f>
        <x:v>0.027854740473889982</x:v>
      </x:c>
      <x:c r="D281" t="n">
        <x:f>SQRT($B$12*B281/($B$11*$B$14))</x:f>
        <x:v>0.0801711045486249</x:v>
      </x:c>
      <x:c r="E281" t="n">
        <x:f>SIN(C281*$B$7)</x:f>
        <x:v>-0.2884846317692426</x:v>
      </x:c>
      <x:c r="F281" t="n">
        <x:f>COS(C281*$B$7)</x:f>
        <x:v>-0.9574845258451775</x:v>
      </x:c>
      <x:c r="G281" t="n">
        <x:f>SIN(D281*$B$8)</x:f>
        <x:v>-0.9981709239595489</x:v>
      </x:c>
      <x:c r="H281" t="n">
        <x:f>COS(D281*$B$8)</x:f>
        <x:v>0.06045499616856006</x:v>
      </x:c>
      <x:c r="I281" t="n">
        <x:f>$B$12*B281*$B$9*E281*G281-3*$B$11*$B$14*C281*F281*G281-3*$B$11*$B$14*D281*H281*E281</x:f>
        <x:v>218813826.80177858</x:v>
      </x:c>
      <x:c r="J281" t="n">
        <x:f>IF(AND(I280&lt;0,I281&gt;=0),1,0)</x:f>
        <x:v>0</x:v>
      </x:c>
    </x:row>
    <x:row r="282">
      <x:c r="A282" t="n">
        <x:f>A281+1</x:f>
        <x:v>265</x:v>
      </x:c>
      <x:c r="B282" t="n">
        <x:f>10^(9*A282/299)</x:f>
        <x:v>94752053.02806547</x:v>
      </x:c>
      <x:c r="C282" t="n">
        <x:f>SQRT($B$12*B282/($B$10*$B$13))</x:f>
        <x:v>0.028836947293894837</x:v>
      </x:c>
      <x:c r="D282" t="n">
        <x:f>SQRT($B$12*B282/($B$11*$B$14))</x:f>
        <x:v>0.08299807777886534</x:v>
      </x:c>
      <x:c r="E282" t="n">
        <x:f>SIN(C282*$B$7)</x:f>
        <x:v>-0.8812069304366483</x:v>
      </x:c>
      <x:c r="F282" t="n">
        <x:f>COS(C282*$B$7)</x:f>
        <x:v>-0.4727307328177639</x:v>
      </x:c>
      <x:c r="G282" t="n">
        <x:f>SIN(D282*$B$8)</x:f>
        <x:v>0.9678830010859841</x:v>
      </x:c>
      <x:c r="H282" t="n">
        <x:f>COS(D282*$B$8)</x:f>
        <x:v>0.2514010664432209</x:v>
      </x:c>
      <x:c r="I282" t="n">
        <x:f>$B$12*B282*$B$9*E282*G282-3*$B$11*$B$14*C282*F282*G282-3*$B$11*$B$14*D282*H282*E282</x:f>
        <x:v>-6697360964.563679</x:v>
      </x:c>
      <x:c r="J282" t="n">
        <x:f>IF(AND(I281&lt;0,I282&gt;=0),1,0)</x:f>
        <x:v>0</x:v>
      </x:c>
    </x:row>
    <x:row r="283">
      <x:c r="A283" t="n">
        <x:f>A282+1</x:f>
        <x:v>266</x:v>
      </x:c>
      <x:c r="B283" t="n">
        <x:f>10^(9*A283/299)</x:f>
        <x:v>101552112.76345691</x:v>
      </x:c>
      <x:c r="C283" t="n">
        <x:f>SQRT($B$12*B283/($B$10*$B$13))</x:f>
        <x:v>0.029853788442593874</x:v>
      </x:c>
      <x:c r="D283" t="n">
        <x:f>SQRT($B$12*B283/($B$11*$B$14))</x:f>
        <x:v>0.08592473502480555</x:v>
      </x:c>
      <x:c r="E283" t="n">
        <x:f>SIN(C283*$B$7)</x:f>
        <x:v>-0.9488932857631109</x:v>
      </x:c>
      <x:c r="F283" t="n">
        <x:f>COS(C283*$B$7)</x:f>
        <x:v>0.3155971042859662</x:v>
      </x:c>
      <x:c r="G283" t="n">
        <x:f>SIN(D283*$B$8)</x:f>
        <x:v>-0.8919922742915671</x:v>
      </x:c>
      <x:c r="H283" t="n">
        <x:f>COS(D283*$B$8)</x:f>
        <x:v>-0.45205064163670616</x:v>
      </x:c>
      <x:c r="I283" t="n">
        <x:f>$B$12*B283*$B$9*E283*G283-3*$B$11*$B$14*C283*F283*G283-3*$B$11*$B$14*D283*H283*E283</x:f>
        <x:v>7759213084.707664</x:v>
      </x:c>
      <x:c r="J283" t="n">
        <x:f>IF(AND(I282&lt;0,I283&gt;=0),1,0)</x:f>
        <x:v>1</x:v>
      </x:c>
    </x:row>
    <x:row r="284">
      <x:c r="A284" t="n">
        <x:f>A283+1</x:f>
        <x:v>267</x:v>
      </x:c>
      <x:c r="B284" t="n">
        <x:f>10^(9*A284/299)</x:f>
        <x:v>108840191.60690077</x:v>
      </x:c>
      <x:c r="C284" t="n">
        <x:f>SQRT($B$12*B284/($B$10*$B$13))</x:f>
        <x:v>0.030906485186933806</x:v>
      </x:c>
      <x:c r="D284" t="n">
        <x:f>SQRT($B$12*B284/($B$11*$B$14))</x:f>
        <x:v>0.08895459131901813</x:v>
      </x:c>
      <x:c r="E284" t="n">
        <x:f>SIN(C284*$B$7)</x:f>
        <x:v>-0.3963640148596136</x:v>
      </x:c>
      <x:c r="F284" t="n">
        <x:f>COS(C284*$B$7)</x:f>
        <x:v>0.9180934417173277</x:v>
      </x:c>
      <x:c r="G284" t="n">
        <x:f>SIN(D284*$B$8)</x:f>
        <x:v>0.8360243426801387</x:v>
      </x:c>
      <x:c r="H284" t="n">
        <x:f>COS(D284*$B$8)</x:f>
        <x:v>0.548692353187323</x:v>
      </x:c>
      <x:c r="I284" t="n">
        <x:f>$B$12*B284*$B$9*E284*G284-3*$B$11*$B$14*C284*F284*G284-3*$B$11*$B$14*D284*H284*E284</x:f>
        <x:v>-5275454194.266054</x:v>
      </x:c>
      <x:c r="J284" t="n">
        <x:f>IF(AND(I283&lt;0,I284&gt;=0),1,0)</x:f>
        <x:v>0</x:v>
      </x:c>
    </x:row>
    <x:row r="285">
      <x:c r="A285" t="n">
        <x:f>A284+1</x:f>
        <x:v>268</x:v>
      </x:c>
      <x:c r="B285" t="n">
        <x:f>10^(9*A285/299)</x:f>
        <x:v>116651313.16981986</x:v>
      </x:c>
      <x:c r="C285" t="n">
        <x:f>SQRT($B$12*B285/($B$10*$B$13))</x:f>
        <x:v>0.0319963018578678</x:v>
      </x:c>
      <x:c r="D285" t="n">
        <x:f>SQRT($B$12*B285/($B$11*$B$14))</x:f>
        <x:v>0.09209128564026602</x:v>
      </x:c>
      <x:c r="E285" t="n">
        <x:f>SIN(C285*$B$7)</x:f>
        <x:v>0.44779724684489547</x:v>
      </x:c>
      <x:c r="F285" t="n">
        <x:f>COS(C285*$B$7)</x:f>
        <x:v>0.894135127214076</x:v>
      </x:c>
      <x:c r="G285" t="n">
        <x:f>SIN(D285*$B$8)</x:f>
        <x:v>-0.8333266463068728</x:v>
      </x:c>
      <x:c r="H285" t="n">
        <x:f>COS(D285*$B$8)</x:f>
        <x:v>-0.5527808793318922</x:v>
      </x:c>
      <x:c r="I285" t="n">
        <x:f>$B$12*B285*$B$9*E285*G285-3*$B$11*$B$14*C285*F285*G285-3*$B$11*$B$14*D285*H285*E285</x:f>
        <x:v>59959551.69767141</x:v>
      </x:c>
      <x:c r="J285" t="n">
        <x:f>IF(AND(I284&lt;0,I285&gt;=0),1,0)</x:f>
        <x:v>1</x:v>
      </x:c>
    </x:row>
    <x:row r="286">
      <x:c r="A286" t="n">
        <x:f>A285+1</x:f>
        <x:v>269</x:v>
      </x:c>
      <x:c r="B286" t="n">
        <x:f>10^(9*A286/299)</x:f>
        <x:v>125023014.59914534</x:v>
      </x:c>
      <x:c r="C286" t="n">
        <x:f>SQRT($B$12*B286/($B$10*$B$13))</x:f>
        <x:v>0.03312454736886756</x:v>
      </x:c>
      <x:c r="D286" t="n">
        <x:f>SQRT($B$12*B286/($B$11*$B$14))</x:f>
        <x:v>0.09533858528406149</x:v>
      </x:c>
      <x:c r="E286" t="n">
        <x:f>SIN(C286*$B$7)</x:f>
        <x:v>0.9792843847800907</x:v>
      </x:c>
      <x:c r="F286" t="n">
        <x:f>COS(C286*$B$7)</x:f>
        <x:v>0.20248973733470826</x:v>
      </x:c>
      <x:c r="G286" t="n">
        <x:f>SIN(D286*$B$8)</x:f>
        <x:v>0.886999240178529</x:v>
      </x:c>
      <x:c r="H286" t="n">
        <x:f>COS(D286*$B$8)</x:f>
        <x:v>0.46177088249770815</x:v>
      </x:c>
      <x:c r="I286" t="n">
        <x:f>$B$12*B286*$B$9*E286*G286-3*$B$11*$B$14*C286*F286*G286-3*$B$11*$B$14*D286*H286*E286</x:f>
        <x:v>8179973206.941205</x:v>
      </x:c>
      <x:c r="J286" t="n">
        <x:f>IF(AND(I285&lt;0,I286&gt;=0),1,0)</x:f>
        <x:v>0</x:v>
      </x:c>
    </x:row>
    <x:row r="287">
      <x:c r="A287" t="n">
        <x:f>A286+1</x:f>
        <x:v>270</x:v>
      </x:c>
      <x:c r="B287" t="n">
        <x:f>10^(9*A287/299)</x:f>
        <x:v>133995526.96593371</x:v>
      </x:c>
      <x:c r="C287" t="n">
        <x:f>SQRT($B$12*B287/($B$10*$B$13))</x:f>
        <x:v>0.03429257678798108</x:v>
      </x:c>
      <x:c r="D287" t="n">
        <x:f>SQRT($B$12*B287/($B$11*$B$14))</x:f>
        <x:v>0.09870039038733991</x:v>
      </x:c>
      <x:c r="E287" t="n">
        <x:f>SIN(C287*$B$7)</x:f>
        <x:v>0.7448249438617758</x:v>
      </x:c>
      <x:c r="F287" t="n">
        <x:f>COS(C287*$B$7)</x:f>
        <x:v>-0.6672599216207299</x:v>
      </x:c>
      <x:c r="G287" t="n">
        <x:f>SIN(D287*$B$8)</x:f>
        <x:v>-0.9664469746398461</x:v>
      </x:c>
      <x:c r="H287" t="n">
        <x:f>COS(D287*$B$8)</x:f>
        <x:v>-0.25686620098698987</x:v>
      </x:c>
      <x:c r="I287" t="n">
        <x:f>$B$12*B287*$B$9*E287*G287-3*$B$11*$B$14*C287*F287*G287-3*$B$11*$B$14*D287*H287*E287</x:f>
        <x:v>-13059617212.706944</x:v>
      </x:c>
      <x:c r="J287" t="n">
        <x:f>IF(AND(I286&lt;0,I287&gt;=0),1,0)</x:f>
        <x:v>0</x:v>
      </x:c>
    </x:row>
    <x:row r="288">
      <x:c r="A288" t="n">
        <x:f>A287+1</x:f>
        <x:v>271</x:v>
      </x:c>
      <x:c r="B288" t="n">
        <x:f>10^(9*A288/299)</x:f>
        <x:v>143611968.59990773</x:v>
      </x:c>
      <x:c r="C288" t="n">
        <x:f>SQRT($B$12*B288/($B$10*$B$13))</x:f>
        <x:v>0.03550179296532323</x:v>
      </x:c>
      <x:c r="D288" t="n">
        <x:f>SQRT($B$12*B288/($B$11*$B$14))</x:f>
        <x:v>0.10218073861267908</x:v>
      </x:c>
      <x:c r="E288" t="n">
        <x:f>SIN(C288*$B$7)</x:f>
        <x:v>-0.1267585580455879</x:v>
      </x:c>
      <x:c r="F288" t="n">
        <x:f>COS(C288*$B$7)</x:f>
        <x:v>-0.9919336005813107</x:v>
      </x:c>
      <x:c r="G288" t="n">
        <x:f>SIN(D288*$B$8)</x:f>
        <x:v>0.996882908158452</x:v>
      </x:c>
      <x:c r="H288" t="n">
        <x:f>COS(D288*$B$8)</x:f>
        <x:v>-0.0788952940392982</x:v>
      </x:c>
      <x:c r="I288" t="n">
        <x:f>$B$12*B288*$B$9*E288*G288-3*$B$11*$B$14*C288*F288*G288-3*$B$11*$B$14*D288*H288*E288</x:f>
        <x:v>1837489731.8484378</x:v>
      </x:c>
      <x:c r="J288" t="n">
        <x:f>IF(AND(I287&lt;0,I288&gt;=0),1,0)</x:f>
        <x:v>1</x:v>
      </x:c>
    </x:row>
    <x:row r="289">
      <x:c r="A289" t="n">
        <x:f>A288+1</x:f>
        <x:v>272</x:v>
      </x:c>
      <x:c r="B289" t="n">
        <x:f>10^(9*A289/299)</x:f>
        <x:v>153918552.29902053</x:v>
      </x:c>
      <x:c r="C289" t="n">
        <x:f>SQRT($B$12*B289/($B$10*$B$13))</x:f>
        <x:v>0.036753648217955244</x:v>
      </x:c>
      <x:c r="D289" t="n">
        <x:f>SQRT($B$12*B289/($B$11*$B$14))</x:f>
        <x:v>0.10578380999769459</x:v>
      </x:c>
      <x:c r="E289" t="n">
        <x:f>SIN(C289*$B$7)</x:f>
        <x:v>-0.9038074287525693</x:v>
      </x:c>
      <x:c r="F289" t="n">
        <x:f>COS(C289*$B$7)</x:f>
        <x:v>-0.4279394019387201</x:v>
      </x:c>
      <x:c r="G289" t="n">
        <x:f>SIN(D289*$B$8)</x:f>
        <x:v>-0.8574740934791373</x:v>
      </x:c>
      <x:c r="H289" t="n">
        <x:f>COS(D289*$B$8)</x:f>
        <x:v>0.5145271411812323</x:v>
      </x:c>
      <x:c r="I289" t="n">
        <x:f>$B$12*B289*$B$9*E289*G289-3*$B$11*$B$14*C289*F289*G289-3*$B$11*$B$14*D289*H289*E289</x:f>
        <x:v>20076418582.28742</x:v>
      </x:c>
      <x:c r="J289" t="n">
        <x:f>IF(AND(I288&lt;0,I289&gt;=0),1,0)</x:f>
        <x:v>0</x:v>
      </x:c>
    </x:row>
    <x:row r="290">
      <x:c r="A290" t="n">
        <x:f>A289+1</x:f>
        <x:v>273</x:v>
      </x:c>
      <x:c r="B290" t="n">
        <x:f>10^(9*A290/299)</x:f>
        <x:v>164964807.40980208</x:v>
      </x:c>
      <x:c r="C290" t="n">
        <x:f>SQRT($B$12*B290/($B$10*$B$13))</x:f>
        <x:v>0.03804964607417556</x:v>
      </x:c>
      <x:c r="D290" t="n">
        <x:f>SQRT($B$12*B290/($B$11*$B$14))</x:f>
        <x:v>0.10951393197543215</x:v>
      </x:c>
      <x:c r="E290" t="n">
        <x:f>SIN(C290*$B$7)</x:f>
        <x:v>-0.8283801142456837</x:v>
      </x:c>
      <x:c r="F290" t="n">
        <x:f>COS(C290*$B$7)</x:f>
        <x:v>0.5601663916394021</x:v>
      </x:c>
      <x:c r="G290" t="n">
        <x:f>SIN(D290*$B$8)</x:f>
        <x:v>0.4275771807438513</x:v>
      </x:c>
      <x:c r="H290" t="n">
        <x:f>COS(D290*$B$8)</x:f>
        <x:v>-0.9039788462719357</x:v>
      </x:c>
      <x:c r="I290" t="n">
        <x:f>$B$12*B290*$B$9*E290*G290-3*$B$11*$B$14*C290*F290*G290-3*$B$11*$B$14*D290*H290*E290</x:f>
        <x:v>-18949125411.71667</x:v>
      </x:c>
      <x:c r="J290" t="n">
        <x:f>IF(AND(I289&lt;0,I290&gt;=0),1,0)</x:f>
        <x:v>0</x:v>
      </x:c>
    </x:row>
    <x:row r="291">
      <x:c r="A291" t="n">
        <x:f>A290+1</x:f>
        <x:v>274</x:v>
      </x:c>
      <x:c r="B291" t="n">
        <x:f>10^(9*A291/299)</x:f>
        <x:v>176803817.84572086</x:v>
      </x:c>
      <x:c r="C291" t="n">
        <x:f>SQRT($B$12*B291/($B$10*$B$13))</x:f>
        <x:v>0.03939134307931757</x:v>
      </x:c>
      <x:c r="D291" t="n">
        <x:f>SQRT($B$12*B291/($B$11*$B$14))</x:f>
        <x:v>0.11337558457178802</x:v>
      </x:c>
      <x:c r="E291" t="n">
        <x:f>SIN(C291*$B$7)</x:f>
        <x:v>0.09699519049472059</x:v>
      </x:c>
      <x:c r="F291" t="n">
        <x:f>COS(C291*$B$7)</x:f>
        <x:v>0.9952848501915885</x:v>
      </x:c>
      <x:c r="G291" t="n">
        <x:f>SIN(D291*$B$8)</x:f>
        <x:v>0.27467245861700124</x:v>
      </x:c>
      <x:c r="H291" t="n">
        <x:f>COS(D291*$B$8)</x:f>
        <x:v>0.9615378518172292</x:v>
      </x:c>
      <x:c r="I291" t="n">
        <x:f>$B$12*B291*$B$9*E291*G291-3*$B$11*$B$14*C291*F291*G291-3*$B$11*$B$14*D291*H291*E291</x:f>
        <x:v>-2023822324.1389775</x:v>
      </x:c>
      <x:c r="J291" t="n">
        <x:f>IF(AND(I290&lt;0,I291&gt;=0),1,0)</x:f>
        <x:v>0</x:v>
      </x:c>
    </x:row>
    <x:row r="292">
      <x:c r="A292" t="n">
        <x:f>A291+1</x:f>
        <x:v>275</x:v>
      </x:c>
      <x:c r="B292" t="n">
        <x:f>10^(9*A292/299)</x:f>
        <x:v>189492477.18738237</x:v>
      </x:c>
      <x:c r="C292" t="n">
        <x:f>SQRT($B$12*B292/($B$10*$B$13))</x:f>
        <x:v>0.04078035066522287</x:v>
      </x:c>
      <x:c r="D292" t="n">
        <x:f>SQRT($B$12*B292/($B$11*$B$14))</x:f>
        <x:v>0.11737340578619965</x:v>
      </x:c>
      <x:c r="E292" t="n">
        <x:f>SIN(C292*$B$7)</x:f>
        <x:v>0.9350336631231172</x:v>
      </x:c>
      <x:c r="F292" t="n">
        <x:f>COS(C292*$B$7)</x:f>
        <x:v>0.35455894972002194</x:v>
      </x:c>
      <x:c r="G292" t="n">
        <x:f>SIN(D292*$B$8)</x:f>
        <x:v>-0.9063135301580528</x:v>
      </x:c>
      <x:c r="H292" t="n">
        <x:f>COS(D292*$B$8)</x:f>
        <x:v>-0.42260594535861445</x:v>
      </x:c>
      <x:c r="I292" t="n">
        <x:f>$B$12*B292*$B$9*E292*G292-3*$B$11*$B$14*C292*F292*G292-3*$B$11*$B$14*D292*H292*E292</x:f>
        <x:v>-13712665591.093548</x:v>
      </x:c>
      <x:c r="J292" t="n">
        <x:f>IF(AND(I291&lt;0,I292&gt;=0),1,0)</x:f>
        <x:v>0</x:v>
      </x:c>
    </x:row>
    <x:row r="293">
      <x:c r="A293" t="n">
        <x:f>A292+1</x:f>
        <x:v>276</x:v>
      </x:c>
      <x:c r="B293" t="n">
        <x:f>10^(9*A293/299)</x:f>
        <x:v>203091762.0904739</x:v>
      </x:c>
      <x:c r="C293" t="n">
        <x:f>SQRT($B$12*B293/($B$10*$B$13))</x:f>
        <x:v>0.04221833708563547</x:v>
      </x:c>
      <x:c r="D293" t="n">
        <x:f>SQRT($B$12*B293/($B$11*$B$14))</x:f>
        <x:v>0.12151219716206853</x:v>
      </x:c>
      <x:c r="E293" t="n">
        <x:f>SIN(C293*$B$7)</x:f>
        <x:v>0.7053023242684562</x:v>
      </x:c>
      <x:c r="F293" t="n">
        <x:f>COS(C293*$B$7)</x:f>
        <x:v>-0.7089066450397495</x:v>
      </x:c>
      <x:c r="G293" t="n">
        <x:f>SIN(D293*$B$8)</x:f>
        <x:v>0.8467873397680278</x:v>
      </x:c>
      <x:c r="H293" t="n">
        <x:f>COS(D293*$B$8)</x:f>
        <x:v>-0.5319315756829882</x:v>
      </x:c>
      <x:c r="I293" t="n">
        <x:f>$B$12*B293*$B$9*E293*G293-3*$B$11*$B$14*C293*F293*G293-3*$B$11*$B$14*D293*H293*E293</x:f>
        <x:v>24700728168.147453</x:v>
      </x:c>
      <x:c r="J293" t="n">
        <x:f>IF(AND(I292&lt;0,I293&gt;=0),1,0)</x:f>
        <x:v>1</x:v>
      </x:c>
    </x:row>
    <x:row r="294">
      <x:c r="A294" t="n">
        <x:f>A293+1</x:f>
        <x:v>277</x:v>
      </x:c>
      <x:c r="B294" t="n">
        <x:f>10^(9*A294/299)</x:f>
        <x:v>217667025.31534636</x:v>
      </x:c>
      <x:c r="C294" t="n">
        <x:f>SQRT($B$12*B294/($B$10*$B$13))</x:f>
        <x:v>0.04370702941984138</x:v>
      </x:c>
      <x:c r="D294" t="n">
        <x:f>SQRT($B$12*B294/($B$11*$B$14))</x:f>
        <x:v>0.1257969295536064</x:v>
      </x:c>
      <x:c r="E294" t="n">
        <x:f>SIN(C294*$B$7)</x:f>
        <x:v>-0.3968700694212259</x:v>
      </x:c>
      <x:c r="F294" t="n">
        <x:f>COS(C294*$B$7)</x:f>
        <x:v>-0.9178747997399163</x:v>
      </x:c>
      <x:c r="G294" t="n">
        <x:f>SIN(D294*$B$8)</x:f>
        <x:v>0.1328296741502043</x:v>
      </x:c>
      <x:c r="H294" t="n">
        <x:f>COS(D294*$B$8)</x:f>
        <x:v>0.99113887910078</x:v>
      </x:c>
      <x:c r="I294" t="n">
        <x:f>$B$12*B294*$B$9*E294*G294-3*$B$11*$B$14*C294*F294*G294-3*$B$11*$B$14*D294*H294*E294</x:f>
        <x:v>5279221678.261082</x:v>
      </x:c>
      <x:c r="J294" t="n">
        <x:f>IF(AND(I293&lt;0,I294&gt;=0),1,0)</x:f>
        <x:v>0</x:v>
      </x:c>
    </x:row>
    <x:row r="295">
      <x:c r="A295" t="n">
        <x:f>A294+1</x:f>
        <x:v>278</x:v>
      </x:c>
      <x:c r="B295" t="n">
        <x:f>10^(9*A295/299)</x:f>
        <x:v>233288309.78641534</x:v>
      </x:c>
      <x:c r="C295" t="n">
        <x:f>SQRT($B$12*B295/($B$10*$B$13))</x:f>
        <x:v>0.04524821564695983</x:v>
      </x:c>
      <x:c r="D295" t="n">
        <x:f>SQRT($B$12*B295/($B$11*$B$14))</x:f>
        <x:v>0.13023274909602983</x:v>
      </x:c>
      <x:c r="E295" t="n">
        <x:f>SIN(C295*$B$7)</x:f>
        <x:v>-0.9975329919078662</x:v>
      </x:c>
      <x:c r="F295" t="n">
        <x:f>COS(C295*$B$7)</x:f>
        <x:v>0.07019921691401619</x:v>
      </x:c>
      <x:c r="G295" t="n">
        <x:f>SIN(D295*$B$8)</x:f>
        <x:v>-0.9897435387465806</x:v>
      </x:c>
      <x:c r="H295" t="n">
        <x:f>COS(D295*$B$8)</x:f>
        <x:v>-0.1428556177033157</x:v>
      </x:c>
      <x:c r="I295" t="n">
        <x:f>$B$12*B295*$B$9*E295*G295-3*$B$11*$B$14*C295*F295*G295-3*$B$11*$B$14*D295*H295*E295</x:f>
        <x:v>28322047996.082813</x:v>
      </x:c>
      <x:c r="J295" t="n">
        <x:f>IF(AND(I294&lt;0,I295&gt;=0),1,0)</x:f>
        <x:v>0</x:v>
      </x:c>
    </x:row>
    <x:row r="296">
      <x:c r="A296" t="n">
        <x:f>A295+1</x:f>
        <x:v>279</x:v>
      </x:c>
      <x:c r="B296" t="n">
        <x:f>10^(9*A296/299)</x:f>
        <x:v>250030685.19063213</x:v>
      </x:c>
      <x:c r="C296" t="n">
        <x:f>SQRT($B$12*B296/($B$10*$B$13))</x:f>
        <x:v>0.046843746793378285</x:v>
      </x:c>
      <x:c r="D296" t="n">
        <x:f>SQRT($B$12*B296/($B$11*$B$14))</x:f>
        <x:v>0.13482498338627585</x:v>
      </x:c>
      <x:c r="E296" t="n">
        <x:f>SIN(C296*$B$7)</x:f>
        <x:v>-0.22224300525906826</x:v>
      </x:c>
      <x:c r="F296" t="n">
        <x:f>COS(C296*$B$7)</x:f>
        <x:v>0.9749913059168362</x:v>
      </x:c>
      <x:c r="G296" t="n">
        <x:f>SIN(D296*$B$8)</x:f>
        <x:v>0.2604620285931605</x:v>
      </x:c>
      <x:c r="H296" t="n">
        <x:f>COS(D296*$B$8)</x:f>
        <x:v>-0.9654840918736753</x:v>
      </x:c>
      <x:c r="I296" t="n">
        <x:f>$B$12*B296*$B$9*E296*G296-3*$B$11*$B$14*C296*F296*G296-3*$B$11*$B$14*D296*H296*E296</x:f>
        <x:v>-6953520208.514469</x:v>
      </x:c>
      <x:c r="J296" t="n">
        <x:f>IF(AND(I295&lt;0,I296&gt;=0),1,0)</x:f>
        <x:v>0</x:v>
      </x:c>
    </x:row>
    <x:row r="297">
      <x:c r="A297" t="n">
        <x:f>A296+1</x:f>
        <x:v>280</x:v>
      </x:c>
      <x:c r="B297" t="n">
        <x:f>10^(9*A297/299)</x:f>
        <x:v>267974608.73256895</x:v>
      </x:c>
      <x:c r="C297" t="n">
        <x:f>SQRT($B$12*B297/($B$10*$B$13))</x:f>
        <x:v>0.04849553915590863</x:v>
      </x:c>
      <x:c r="D297" t="n">
        <x:f>SQRT($B$12*B297/($B$11*$B$14))</x:f>
        <x:v>0.13957914788165762</x:v>
      </x:c>
      <x:c r="E297" t="n">
        <x:f>SIN(C297*$B$7)</x:f>
        <x:v>0.889988287050108</x:v>
      </x:c>
      <x:c r="F297" t="n">
        <x:f>COS(C297*$B$7)</x:f>
        <x:v>0.4559833866640477</x:v>
      </x:c>
      <x:c r="G297" t="n">
        <x:f>SIN(D297*$B$8)</x:f>
        <x:v>0.9755195068037297</x:v>
      </x:c>
      <x:c r="H297" t="n">
        <x:f>COS(D297*$B$8)</x:f>
        <x:v>0.21991291877788371</x:v>
      </x:c>
      <x:c r="I297" t="n">
        <x:f>$B$12*B297*$B$9*E297*G297-3*$B$11*$B$14*C297*F297*G297-3*$B$11*$B$14*D297*H297*E297</x:f>
        <x:v>24483819341.603905</x:v>
      </x:c>
      <x:c r="J297" t="n">
        <x:f>IF(AND(I296&lt;0,I297&gt;=0),1,0)</x:f>
        <x:v>1</x:v>
      </x:c>
    </x:row>
    <x:row r="298">
      <x:c r="A298" t="n">
        <x:f>A297+1</x:f>
        <x:v>281</x:v>
      </x:c>
      <x:c r="B298" t="n">
        <x:f>10^(9*A298/299)</x:f>
        <x:v>287206311.77978283</x:v>
      </x:c>
      <x:c r="C298" t="n">
        <x:f>SQRT($B$12*B298/($B$10*$B$13))</x:f>
        <x:v>0.050205576603336834</x:v>
      </x:c>
      <x:c r="D298" t="n">
        <x:f>SQRT($B$12*B298/($B$11*$B$14))</x:f>
        <x:v>0.14450095252415063</x:v>
      </x:c>
      <x:c r="E298" t="n">
        <x:f>SIN(C298*$B$7)</x:f>
        <x:v>0.6258674193728836</x:v>
      </x:c>
      <x:c r="F298" t="n">
        <x:f>COS(C298*$B$7)</x:f>
        <x:v>-0.7799294669183406</x:v>
      </x:c>
      <x:c r="G298" t="n">
        <x:f>SIN(D298*$B$8)</x:f>
        <x:v>-0.01230923011543712</x:v>
      </x:c>
      <x:c r="H298" t="n">
        <x:f>COS(D298*$B$8)</x:f>
        <x:v>0.9999242385570845</x:v>
      </x:c>
      <x:c r="I298" t="n">
        <x:f>$B$12*B298*$B$9*E298*G298-3*$B$11*$B$14*C298*F298*G298-3*$B$11*$B$14*D298*H298*E298</x:f>
        <x:v>-11544844641.841276</x:v>
      </x:c>
      <x:c r="J298" t="n">
        <x:f>IF(AND(I297&lt;0,I298&gt;=0),1,0)</x:f>
        <x:v>0</x:v>
      </x:c>
    </x:row>
    <x:row r="299">
      <x:c r="A299" t="n">
        <x:f>A298+1</x:f>
        <x:v>282</x:v>
      </x:c>
      <x:c r="B299" t="n">
        <x:f>10^(9*A299/299)</x:f>
        <x:v>307818214.256508</x:v>
      </x:c>
      <x:c r="C299" t="n">
        <x:f>SQRT($B$12*B299/($B$10*$B$13))</x:f>
        <x:v>0.05197591295912865</x:v>
      </x:c>
      <x:c r="D299" t="n">
        <x:f>SQRT($B$12*B299/($B$11*$B$14))</x:f>
        <x:v>0.1495963085982615</x:v>
      </x:c>
      <x:c r="E299" t="n">
        <x:f>SIN(C299*$B$7)</x:f>
        <x:v>-0.6743070160534864</x:v>
      </x:c>
      <x:c r="F299" t="n">
        <x:f>COS(C299*$B$7)</x:f>
        <x:v>-0.7384511142256088</x:v>
      </x:c>
      <x:c r="G299" t="n">
        <x:f>SIN(D299*$B$8)</x:f>
        <x:v>-0.9320893628449661</x:v>
      </x:c>
      <x:c r="H299" t="n">
        <x:f>COS(D299*$B$8)</x:f>
        <x:v>0.36222840815052726</x:v>
      </x:c>
      <x:c r="I299" t="n">
        <x:f>$B$12*B299*$B$9*E299*G299-3*$B$11*$B$14*C299*F299*G299-3*$B$11*$B$14*D299*H299*E299</x:f>
        <x:v>25487303836.609215</x:v>
      </x:c>
      <x:c r="J299" t="n">
        <x:f>IF(AND(I298&lt;0,I299&gt;=0),1,0)</x:f>
        <x:v>1</x:v>
      </x:c>
    </x:row>
    <x:row r="300">
      <x:c r="A300" t="n">
        <x:f>A299+1</x:f>
        <x:v>283</x:v>
      </x:c>
      <x:c r="B300" t="n">
        <x:f>10^(9*A300/299)</x:f>
        <x:v>329909368.77709424</x:v>
      </x:c>
      <x:c r="C300" t="n">
        <x:f>SQRT($B$12*B300/($B$10*$B$13))</x:f>
        <x:v>0.05380867446815395</x:v>
      </x:c>
      <x:c r="D300" t="n">
        <x:f>SQRT($B$12*B300/($B$11*$B$14))</x:f>
        <x:v>0.15487133583071747</x:v>
      </x:c>
      <x:c r="E300" t="n">
        <x:f>SIN(C300*$B$7)</x:f>
        <x:v>-0.8048113617289047</x:v>
      </x:c>
      <x:c r="F300" t="n">
        <x:f>COS(C300*$B$7)</x:f>
        <x:v>0.5935306833113737</x:v>
      </x:c>
      <x:c r="G300" t="n">
        <x:f>SIN(D300*$B$8)</x:f>
        <x:v>-0.8035859277096565</x:v>
      </x:c>
      <x:c r="H300" t="n">
        <x:f>COS(D300*$B$8)</x:f>
        <x:v>-0.5951887572753796</x:v>
      </x:c>
      <x:c r="I300" t="n">
        <x:f>$B$12*B300*$B$9*E300*G300-3*$B$11*$B$14*C300*F300*G300-3*$B$11*$B$14*D300*H300*E300</x:f>
        <x:v>21997419816.625916</x:v>
      </x:c>
      <x:c r="J300" t="n">
        <x:f>IF(AND(I299&lt;0,I300&gt;=0),1,0)</x:f>
        <x:v>0</x:v>
      </x:c>
    </x:row>
    <x:row r="301">
      <x:c r="A301" t="n">
        <x:f>A300+1</x:f>
        <x:v>284</x:v>
      </x:c>
      <x:c r="B301" t="n">
        <x:f>10^(9*A301/299)</x:f>
        <x:v>353585936.6535183</x:v>
      </x:c>
      <x:c r="C301" t="n">
        <x:f>SQRT($B$12*B301/($B$10*$B$13))</x:f>
        <x:v>0.05570606235039189</x:v>
      </x:c>
      <x:c r="D301" t="n">
        <x:f>SQRT($B$12*B301/($B$11*$B$14))</x:f>
        <x:v>0.16033236974050313</x:v>
      </x:c>
      <x:c r="E301" t="n">
        <x:f>SIN(C301*$B$7)</x:f>
        <x:v>0.5501574122412787</x:v>
      </x:c>
      <x:c r="F301" t="n">
        <x:f>COS(C301*$B$7)</x:f>
        <x:v>0.8350609688854939</x:v>
      </x:c>
      <x:c r="G301" t="n">
        <x:f>SIN(D301*$B$8)</x:f>
        <x:v>-0.11091571943962833</x:v>
      </x:c>
      <x:c r="H301" t="n">
        <x:f>COS(D301*$B$8)</x:f>
        <x:v>-0.9938298160053308</x:v>
      </x:c>
      <x:c r="I301" t="n">
        <x:f>$B$12*B301*$B$9*E301*G301-3*$B$11*$B$14*C301*F301*G301-3*$B$11*$B$14*D301*H301*E301</x:f>
        <x:v>8658977739.88905</x:v>
      </x:c>
      <x:c r="J301" t="n">
        <x:f>IF(AND(I300&lt;0,I301&gt;=0),1,0)</x:f>
        <x:v>0</x:v>
      </x:c>
    </x:row>
    <x:row r="302">
      <x:c r="A302" t="n">
        <x:f>A301+1</x:f>
        <x:v>285</x:v>
      </x:c>
      <x:c r="B302" t="n">
        <x:f>10^(9*A302/299)</x:f>
        <x:v>378961698.0644724</x:v>
      </x:c>
      <x:c r="C302" t="n">
        <x:f>SQRT($B$12*B302/($B$10*$B$13))</x:f>
        <x:v>0.05767035544468433</x:v>
      </x:c>
      <x:c r="D302" t="n">
        <x:f>SQRT($B$12*B302/($B$11*$B$14))</x:f>
        <x:v>0.16598596924807263</x:v>
      </x:c>
      <x:c r="E302" t="n">
        <x:f>SIN(C302*$B$7)</x:f>
        <x:v>0.8347097166729616</x:v>
      </x:c>
      <x:c r="F302" t="n">
        <x:f>COS(C302*$B$7)</x:f>
        <x:v>-0.5506901932046223</x:v>
      </x:c>
      <x:c r="G302" t="n">
        <x:f>SIN(D302*$B$8)</x:f>
        <x:v>0.49552694511216727</x:v>
      </x:c>
      <x:c r="H302" t="n">
        <x:f>COS(D302*$B$8)</x:f>
        <x:v>-0.8685925665510862</x:v>
      </x:c>
      <x:c r="I302" t="n">
        <x:f>$B$12*B302*$B$9*E302*G302-3*$B$11*$B$14*C302*F302*G302-3*$B$11*$B$14*D302*H302*E302</x:f>
        <x:v>37418796581.679634</x:v>
      </x:c>
      <x:c r="J302" t="n">
        <x:f>IF(AND(I301&lt;0,I302&gt;=0),1,0)</x:f>
        <x:v>0</x:v>
      </x:c>
    </x:row>
    <x:row r="303">
      <x:c r="A303" t="n">
        <x:f>A302+1</x:f>
        <x:v>286</x:v>
      </x:c>
      <x:c r="B303" t="n">
        <x:f>10^(9*A303/299)</x:f>
        <x:v>406158598.83769715</x:v>
      </x:c>
      <x:c r="C303" t="n">
        <x:f>SQRT($B$12*B303/($B$10*$B$13))</x:f>
        <x:v>0.059703912945712416</x:v>
      </x:c>
      <x:c r="D303" t="n">
        <x:f>SQRT($B$12*B303/($B$11*$B$14))</x:f>
        <x:v>0.17183892455287555</x:v>
      </x:c>
      <x:c r="E303" t="n">
        <x:f>SIN(C303*$B$7)</x:f>
        <x:v>-0.5965861197624924</x:v>
      </x:c>
      <x:c r="F303" t="n">
        <x:f>COS(C303*$B$7)</x:f>
        <x:v>-0.8025490649840251</x:v>
      </x:c>
      <x:c r="G303" t="n">
        <x:f>SIN(D303*$B$8)</x:f>
        <x:v>0.81264195978417</x:v>
      </x:c>
      <x:c r="H303" t="n">
        <x:f>COS(D303*$B$8)</x:f>
        <x:v>-0.5827632840168839</x:v>
      </x:c>
      <x:c r="I303" t="n">
        <x:f>$B$12*B303*$B$9*E303*G303-3*$B$11*$B$14*C303*F303*G303-3*$B$11*$B$14*D303*H303*E303</x:f>
        <x:v>-28419958233.779266</x:v>
      </x:c>
      <x:c r="J303" t="n">
        <x:f>IF(AND(I302&lt;0,I303&gt;=0),1,0)</x:f>
        <x:v>0</x:v>
      </x:c>
    </x:row>
    <x:row r="304">
      <x:c r="A304" t="n">
        <x:f>A303+1</x:f>
        <x:v>287</x:v>
      </x:c>
      <x:c r="B304" t="n">
        <x:f>10^(9*A304/299)</x:f>
        <x:v>435307336.47318834</x:v>
      </x:c>
      <x:c r="C304" t="n">
        <x:f>SQRT($B$12*B304/($B$10*$B$13))</x:f>
        <x:v>0.06180917723748433</x:v>
      </x:c>
      <x:c r="D304" t="n">
        <x:f>SQRT($B$12*B304/($B$11*$B$14))</x:f>
        <x:v>0.17789826528865957</x:v>
      </x:c>
      <x:c r="E304" t="n">
        <x:f>SIN(C304*$B$7)</x:f>
        <x:v>-0.7298760905320688</x:v>
      </x:c>
      <x:c r="F304" t="n">
        <x:f>COS(C304*$B$7)</x:f>
        <x:v>0.6835794704857829</x:v>
      </x:c>
      <x:c r="G304" t="n">
        <x:f>SIN(D304*$B$8)</x:f>
        <x:v>0.9217292908438564</x:v>
      </x:c>
      <x:c r="H304" t="n">
        <x:f>COS(D304*$B$8)</x:f>
        <x:v>-0.3878338747459816</x:v>
      </x:c>
      <x:c r="I304" t="n">
        <x:f>$B$12*B304*$B$9*E304*G304-3*$B$11*$B$14*C304*F304*G304-3*$B$11*$B$14*D304*H304*E304</x:f>
        <x:v>-49491816041.96344</x:v>
      </x:c>
      <x:c r="J304" t="n">
        <x:f>IF(AND(I303&lt;0,I304&gt;=0),1,0)</x:f>
        <x:v>0</x:v>
      </x:c>
    </x:row>
    <x:row r="305">
      <x:c r="A305" t="n">
        <x:f>A304+1</x:f>
        <x:v>288</x:v>
      </x:c>
      <x:c r="B305" t="n">
        <x:f>10^(9*A305/299)</x:f>
        <x:v>466547988.2234468</x:v>
      </x:c>
      <x:c r="C305" t="n">
        <x:f>SQRT($B$12*B305/($B$10*$B$13))</x:f>
        <x:v>0.06398867682673566</x:v>
      </x:c>
      <x:c r="D305" t="n">
        <x:f>SQRT($B$12*B305/($B$11*$B$14))</x:f>
        <x:v>0.18417126896634026</x:v>
      </x:c>
      <x:c r="E305" t="n">
        <x:f>SIN(C305*$B$7)</x:f>
        <x:v>0.7988969235168104</x:v>
      </x:c>
      <x:c r="F305" t="n">
        <x:f>COS(C305*$B$7)</x:f>
        <x:v>0.6014679589100117</x:v>
      </x:c>
      <x:c r="G305" t="n">
        <x:f>SIN(D305*$B$8)</x:f>
        <x:v>0.9256302280508519</x:v>
      </x:c>
      <x:c r="H305" t="n">
        <x:f>COS(D305*$B$8)</x:f>
        <x:v>-0.3784292284146771</x:v>
      </x:c>
      <x:c r="I305" t="n">
        <x:f>$B$12*B305*$B$9*E305*G305-3*$B$11*$B$14*C305*F305*G305-3*$B$11*$B$14*D305*H305*E305</x:f>
        <x:v>47764473506.03153</x:v>
      </x:c>
      <x:c r="J305" t="n">
        <x:f>IF(AND(I304&lt;0,I305&gt;=0),1,0)</x:f>
        <x:v>1</x:v>
      </x:c>
    </x:row>
    <x:row r="306">
      <x:c r="A306" t="n">
        <x:f>A305+1</x:f>
        <x:v>289</x:v>
      </x:c>
      <x:c r="B306" t="n">
        <x:f>10^(9*A306/299)</x:f>
        <x:v>500030684.24910897</x:v>
      </x:c>
      <x:c r="C306" t="n">
        <x:f>SQRT($B$12*B306/($B$10*$B$13))</x:f>
        <x:v>0.06624502937976769</x:v>
      </x:c>
      <x:c r="D306" t="n">
        <x:f>SQRT($B$12*B306/($B$11*$B$14))</x:f>
        <x:v>0.19066546971458456</x:v>
      </x:c>
      <x:c r="E306" t="n">
        <x:f>SIN(C306*$B$7)</x:f>
        <x:v>0.39957355827194935</x:v>
      </x:c>
      <x:c r="F306" t="n">
        <x:f>COS(C306*$B$7)</x:f>
        <x:v>-0.9167011353379536</x:v>
      </x:c>
      <x:c r="G306" t="n">
        <x:f>SIN(D306*$B$8)</x:f>
        <x:v>0.8258354669136608</x:v>
      </x:c>
      <x:c r="H306" t="n">
        <x:f>COS(D306*$B$8)</x:f>
        <x:v>-0.5639111468906212</x:v>
      </x:c>
      <x:c r="I306" t="n">
        <x:f>$B$12*B306*$B$9*E306*G306-3*$B$11*$B$14*C306*F306*G306-3*$B$11*$B$14*D306*H306*E306</x:f>
        <x:v>33182976340.589447</x:v>
      </x:c>
      <x:c r="J306" t="n">
        <x:f>IF(AND(I305&lt;0,I306&gt;=0),1,0)</x:f>
        <x:v>0</x:v>
      </x:c>
    </x:row>
    <x:row r="307">
      <x:c r="A307" t="n">
        <x:f>A306+1</x:f>
        <x:v>290</x:v>
      </x:c>
      <x:c r="B307" t="n">
        <x:f>10^(9*A307/299)</x:f>
        <x:v>535916329.08485144</x:v>
      </x:c>
      <x:c r="C307" t="n">
        <x:f>SQRT($B$12*B307/($B$10*$B$13))</x:f>
        <x:v>0.06858094486636933</x:v>
      </x:c>
      <x:c r="D307" t="n">
        <x:f>SQRT($B$12*B307/($B$11*$B$14))</x:f>
        <x:v>0.19738866732860058</x:v>
      </x:c>
      <x:c r="E307" t="n">
        <x:f>SIN(C307*$B$7)</x:f>
        <x:v>-0.9936092553311708</x:v>
      </x:c>
      <x:c r="F307" t="n">
        <x:f>COS(C307*$B$7)</x:f>
        <x:v>-0.11287447771855325</x:v>
      </x:c>
      <x:c r="G307" t="n">
        <x:f>SIN(D307*$B$8)</x:f>
        <x:v>0.5069733920015131</x:v>
      </x:c>
      <x:c r="H307" t="n">
        <x:f>COS(D307*$B$8)</x:f>
        <x:v>-0.8619617043711861</x:v>
      </x:c>
      <x:c r="I307" t="n">
        <x:f>$B$12*B307*$B$9*E307*G307-3*$B$11*$B$14*C307*F307*G307-3*$B$11*$B$14*D307*H307*E307</x:f>
        <x:v>-55873962337.390945</x:v>
      </x:c>
      <x:c r="J307" t="n">
        <x:f>IF(AND(I306&lt;0,I307&gt;=0),1,0)</x:f>
        <x:v>0</x:v>
      </x:c>
    </x:row>
    <x:row r="308">
      <x:c r="A308" t="n">
        <x:f>A307+1</x:f>
        <x:v>291</x:v>
      </x:c>
      <x:c r="B308" t="n">
        <x:f>10^(9*A308/299)</x:f>
        <x:v>574377374.8826587</x:v>
      </x:c>
      <x:c r="C308" t="n">
        <x:f>SQRT($B$12*B308/($B$10*$B$13))</x:f>
        <x:v>0.07099922881459948</x:v>
      </x:c>
      <x:c r="D308" t="n">
        <x:f>SQRT($B$12*B308/($B$11*$B$14))</x:f>
        <x:v>0.20434893663800424</x:v>
      </x:c>
      <x:c r="E308" t="n">
        <x:f>SIN(C308*$B$7)</x:f>
        <x:v>0.2480969464258187</x:v>
      </x:c>
      <x:c r="F308" t="n">
        <x:f>COS(C308*$B$7)</x:f>
        <x:v>0.9687352090092444</x:v>
      </x:c>
      <x:c r="G308" t="n">
        <x:f>SIN(D308*$B$8)</x:f>
        <x:v>-0.14490222579645134</x:v>
      </x:c>
      <x:c r="H308" t="n">
        <x:f>COS(D308*$B$8)</x:f>
        <x:v>-0.9894459787978493</x:v>
      </x:c>
      <x:c r="I308" t="n">
        <x:f>$B$12*B308*$B$9*E308*G308-3*$B$11*$B$14*C308*F308*G308-3*$B$11*$B$14*D308*H308*E308</x:f>
        <x:v>4733453951.167384</x:v>
      </x:c>
      <x:c r="J308" t="n">
        <x:f>IF(AND(I307&lt;0,I308&gt;=0),1,0)</x:f>
        <x:v>1</x:v>
      </x:c>
    </x:row>
    <x:row r="309">
      <x:c r="A309" t="n">
        <x:f>A308+1</x:f>
        <x:v>292</x:v>
      </x:c>
      <x:c r="B309" t="n">
        <x:f>10^(9*A309/299)</x:f>
        <x:v>615598650.1483514</x:v>
      </x:c>
      <x:c r="C309" t="n">
        <x:f>SQRT($B$12*B309/($B$10*$B$13))</x:f>
        <x:v>0.07350278568033845</x:v>
      </x:c>
      <x:c r="D309" t="n">
        <x:f>SQRT($B$12*B309/($B$11*$B$14))</x:f>
        <x:v>0.21155463720501286</x:v>
      </x:c>
      <x:c r="E309" t="n">
        <x:f>SIN(C309*$B$7)</x:f>
        <x:v>0.775831481110551</x:v>
      </x:c>
      <x:c r="F309" t="n">
        <x:f>COS(C309*$B$7)</x:f>
        <x:v>-0.6309401817270863</x:v>
      </x:c>
      <x:c r="G309" t="n">
        <x:f>SIN(D309*$B$8)</x:f>
        <x:v>-0.8762044862957813</x:v>
      </x:c>
      <x:c r="H309" t="n">
        <x:f>COS(D309*$B$8)</x:f>
        <x:v>-0.4819395171545346</x:v>
      </x:c>
      <x:c r="I309" t="n">
        <x:f>$B$12*B309*$B$9*E309*G309-3*$B$11*$B$14*C309*F309*G309-3*$B$11*$B$14*D309*H309*E309</x:f>
        <x:v>-50163117246.22001</x:v>
      </x:c>
      <x:c r="J309" t="n">
        <x:f>IF(AND(I308&lt;0,I309&gt;=0),1,0)</x:f>
        <x:v>0</x:v>
      </x:c>
    </x:row>
    <x:row r="310">
      <x:c r="A310" t="n">
        <x:f>A309+1</x:f>
        <x:v>293</x:v>
      </x:c>
      <x:c r="B310" t="n">
        <x:f>10^(9*A310/299)</x:f>
        <x:v>659778247.9539547</x:v>
      </x:c>
      <x:c r="C310" t="n">
        <x:f>SQRT($B$12*B310/($B$10*$B$13))</x:f>
        <x:v>0.07609462233565592</x:v>
      </x:c>
      <x:c r="D310" t="n">
        <x:f>SQRT($B$12*B310/($B$11*$B$14))</x:f>
        <x:v>0.21901442336461432</x:v>
      </x:c>
      <x:c r="E310" t="n">
        <x:f>SIN(C310*$B$7)</x:f>
        <x:v>-0.9266635936542043</x:v>
      </x:c>
      <x:c r="F310" t="n">
        <x:f>COS(C310*$B$7)</x:f>
        <x:v>-0.3758917187114872</x:v>
      </x:c>
      <x:c r="G310" t="n">
        <x:f>SIN(D310*$B$8)</x:f>
        <x:v>-0.7814974826401401</x:v>
      </x:c>
      <x:c r="H310" t="n">
        <x:f>COS(D310*$B$8)</x:f>
        <x:v>0.6239083944195045</x:v>
      </x:c>
      <x:c r="I310" t="n">
        <x:f>$B$12*B310*$B$9*E310*G310-3*$B$11*$B$14*C310*F310*G310-3*$B$11*$B$14*D310*H310*E310</x:f>
        <x:v>75619393021.02298</x:v>
      </x:c>
      <x:c r="J310" t="n">
        <x:f>IF(AND(I309&lt;0,I310&gt;=0),1,0)</x:f>
        <x:v>1</x:v>
      </x:c>
    </x:row>
    <x:row r="311">
      <x:c r="A311" t="n">
        <x:f>A310+1</x:f>
        <x:v>294</x:v>
      </x:c>
      <x:c r="B311" t="n">
        <x:f>10^(9*A311/299)</x:f>
        <x:v>707128477.894301</x:v>
      </x:c>
      <x:c r="C311" t="n">
        <x:f>SQRT($B$12*B311/($B$10*$B$13))</x:f>
        <x:v>0.0787778516801847</x:v>
      </x:c>
      <x:c r="D311" t="n">
        <x:f>SQRT($B$12*B311/($B$11*$B$14))</x:f>
        <x:v>0.22673725461877006</x:v>
      </x:c>
      <x:c r="E311" t="n">
        <x:f>SIN(C311*$B$7)</x:f>
        <x:v>0.18927944290700055</x:v>
      </x:c>
      <x:c r="F311" t="n">
        <x:f>COS(C311*$B$7)</x:f>
        <x:v>0.9819232620183797</x:v>
      </x:c>
      <x:c r="G311" t="n">
        <x:f>SIN(D311*$B$8)</x:f>
        <x:v>0.5163502154179912</x:v>
      </x:c>
      <x:c r="H311" t="n">
        <x:f>COS(D311*$B$8)</x:f>
        <x:v>0.8563775189936936</x:v>
      </x:c>
      <x:c r="I311" t="n">
        <x:f>$B$12*B311*$B$9*E311*G311-3*$B$11*$B$14*C311*F311*G311-3*$B$11*$B$14*D311*H311*E311</x:f>
        <x:v>-423429347.30947304</x:v>
      </x:c>
      <x:c r="J311" t="n">
        <x:f>IF(AND(I310&lt;0,I311&gt;=0),1,0)</x:f>
        <x:v>0</x:v>
      </x:c>
    </x:row>
    <x:row r="312">
      <x:c r="A312" t="n">
        <x:f>A311+1</x:f>
        <x:v>295</x:v>
      </x:c>
      <x:c r="B312" t="n">
        <x:f>10^(9*A312/299)</x:f>
        <x:v>757876886.3625915</x:v>
      </x:c>
      <x:c r="C312" t="n">
        <x:f>SQRT($B$12*B312/($B$10*$B$13))</x:f>
        <x:v>0.08155569637983762</x:v>
      </x:c>
      <x:c r="D312" t="n">
        <x:f>SQRT($B$12*B312/($B$11*$B$14))</x:f>
        <x:v>0.2347324063971351</x:v>
      </x:c>
      <x:c r="E312" t="n">
        <x:f>SIN(C312*$B$7)</x:f>
        <x:v>0.6660410525302485</x:v>
      </x:c>
      <x:c r="F312" t="n">
        <x:f>COS(C312*$B$7)</x:f>
        <x:v>-0.7459150865510087</x:v>
      </x:c>
      <x:c r="G312" t="n">
        <x:f>SIN(D312*$B$8)</x:f>
        <x:v>0.7752069428574709</x:v>
      </x:c>
      <x:c r="H312" t="n">
        <x:f>COS(D312*$B$8)</x:f>
        <x:v>-0.631707365593891</x:v>
      </x:c>
      <x:c r="I312" t="n">
        <x:f>$B$12*B312*$B$9*E312*G312-3*$B$11*$B$14*C312*F312*G312-3*$B$11*$B$14*D312*H312*E312</x:f>
        <x:v>69422923590.78622</x:v>
      </x:c>
      <x:c r="J312" t="n">
        <x:f>IF(AND(I311&lt;0,I312&gt;=0),1,0)</x:f>
        <x:v>1</x:v>
      </x:c>
    </x:row>
    <x:row r="313">
      <x:c r="A313" t="n">
        <x:f>A312+1</x:f>
        <x:v>296</x:v>
      </x:c>
      <x:c r="B313" t="n">
        <x:f>10^(9*A313/299)</x:f>
        <x:v>812267350.0479703</x:v>
      </x:c>
      <x:c r="C313" t="n">
        <x:f>SQRT($B$12*B313/($B$10*$B$13))</x:f>
        <x:v>0.08443149273735918</x:v>
      </x:c>
      <x:c r="D313" t="n">
        <x:f>SQRT($B$12*B313/($B$11*$B$14))</x:f>
        <x:v>0.24300948119722274</x:v>
      </x:c>
      <x:c r="E313" t="n">
        <x:f>SIN(C313*$B$7)</x:f>
        <x:v>-0.9999995467169279</x:v>
      </x:c>
      <x:c r="F313" t="n">
        <x:f>COS(C313*$B$7)</x:f>
        <x:v>0.0009521375629369752</x:v>
      </x:c>
      <x:c r="G313" t="n">
        <x:f>SIN(D313*$B$8)</x:f>
        <x:v>-0.8942921601799676</x:v>
      </x:c>
      <x:c r="H313" t="n">
        <x:f>COS(D313*$B$8)</x:f>
        <x:v>-0.4474835552739868</x:v>
      </x:c>
      <x:c r="I313" t="n">
        <x:f>$B$12*B313*$B$9*E313*G313-3*$B$11*$B$14*C313*F313*G313-3*$B$11*$B$14*D313*H313*E313</x:f>
        <x:v>81887870790.76665</x:v>
      </x:c>
      <x:c r="J313" t="n">
        <x:f>IF(AND(I312&lt;0,I313&gt;=0),1,0)</x:f>
        <x:v>0</x:v>
      </x:c>
    </x:row>
    <x:row r="314">
      <x:c r="A314" t="n">
        <x:f>A313+1</x:f>
        <x:v>297</x:v>
      </x:c>
      <x:c r="B314" t="n">
        <x:f>10^(9*A314/299)</x:f>
        <x:v>870561247.9099857</x:v>
      </x:c>
      <x:c r="C314" t="n">
        <x:f>SQRT($B$12*B314/($B$10*$B$13))</x:f>
        <x:v>0.08740869469935768</x:v>
      </x:c>
      <x:c r="D314" t="n">
        <x:f>SQRT($B$12*B314/($B$11*$B$14))</x:f>
        <x:v>0.2515784201173857</x:v>
      </x:c>
      <x:c r="E314" t="n">
        <x:f>SIN(C314*$B$7)</x:f>
        <x:v>0.7256078730521467</x:v>
      </x:c>
      <x:c r="F314" t="n">
        <x:f>COS(C314*$B$7)</x:f>
        <x:v>0.6881084322726614</x:v>
      </x:c>
      <x:c r="G314" t="n">
        <x:f>SIN(D314*$B$8)</x:f>
        <x:v>0.2483803326443546</x:v>
      </x:c>
      <x:c r="H314" t="n">
        <x:f>COS(D314*$B$8)</x:f>
        <x:v>0.9686625884979143</x:v>
      </x:c>
      <x:c r="I314" t="n">
        <x:f>$B$12*B314*$B$9*E314*G314-3*$B$11*$B$14*C314*F314*G314-3*$B$11*$B$14*D314*H314*E314</x:f>
        <x:v>-3146313789.6839867</x:v>
      </x:c>
      <x:c r="J314" t="n">
        <x:f>IF(AND(I313&lt;0,I314&gt;=0),1,0)</x:f>
        <x:v>0</x:v>
      </x:c>
    </x:row>
    <x:row r="315">
      <x:c r="A315" t="n">
        <x:f>A314+1</x:f>
        <x:v>298</x:v>
      </x:c>
      <x:c r="B315" t="n">
        <x:f>10^(9*A315/299)</x:f>
        <x:v>933038717.2620361</x:v>
      </x:c>
      <x:c r="C315" t="n">
        <x:f>SQRT($B$12*B315/($B$10*$B$13))</x:f>
        <x:v>0.0904908780046341</x:v>
      </x:c>
      <x:c r="D315" t="n">
        <x:f>SQRT($B$12*B315/($B$11*$B$14))</x:f>
        <x:v>0.26044951479647505</x:v>
      </x:c>
      <x:c r="E315" t="n">
        <x:f>SIN(C315*$B$7)</x:f>
        <x:v>-0.13565185665130303</x:v>
      </x:c>
      <x:c r="F315" t="n">
        <x:f>COS(C315*$B$7)</x:f>
        <x:v>-0.9907565663608061</x:v>
      </x:c>
      <x:c r="G315" t="n">
        <x:f>SIN(D315*$B$8)</x:f>
        <x:v>0.2980751023614879</x:v>
      </x:c>
      <x:c r="H315" t="n">
        <x:f>COS(D315*$B$8)</x:f>
        <x:v>-0.9545424209285769</x:v>
      </x:c>
      <x:c r="I315" t="n">
        <x:f>$B$12*B315*$B$9*E315*G315-3*$B$11*$B$14*C315*F315*G315-3*$B$11*$B$14*D315*H315*E315</x:f>
        <x:v>-5818287304.726023</x:v>
      </x:c>
      <x:c r="J315" t="n">
        <x:f>IF(AND(I314&lt;0,I315&gt;=0),1,0)</x:f>
        <x:v>0</x:v>
      </x:c>
    </x:row>
    <x:row r="316">
      <x:c r="A316" t="n">
        <x:f>A315+1</x:f>
        <x:v>299</x:v>
      </x:c>
      <x:c r="B316" t="n">
        <x:f>10^(9*A316/299)</x:f>
        <x:v>1000000000</x:v>
      </x:c>
      <x:c r="C316" t="n">
        <x:f>SQRT($B$12*B316/($B$10*$B$13))</x:f>
        <x:v>0.09368174447878747</x:v>
      </x:c>
      <x:c r="D316" t="n">
        <x:f>SQRT($B$12*B316/($B$11*$B$14))</x:f>
        <x:v>0.2696334197745108</x:v>
      </x:c>
      <x:c r="E316" t="n">
        <x:f>SIN(C316*$B$7)</x:f>
        <x:v>-0.4375103485183213</x:v>
      </x:c>
      <x:c r="F316" t="n">
        <x:f>COS(C316*$B$7)</x:f>
        <x:v>0.8992133756452787</x:v>
      </x:c>
      <x:c r="G316" t="n">
        <x:f>SIN(D316*$B$8)</x:f>
        <x:v>-0.5171762712556713</x:v>
      </x:c>
      <x:c r="H316" t="n">
        <x:f>COS(D316*$B$8)</x:f>
        <x:v>0.8558789075856936</x:v>
      </x:c>
      <x:c r="I316" t="n">
        <x:f>$B$12*B316*$B$9*E316*G316-3*$B$11*$B$14*C316*F316*G316-3*$B$11*$B$14*D316*H316*E316</x:f>
        <x:v>47590026389.84337</x:v>
      </x:c>
      <x:c r="J316" t="n">
        <x:f>IF(AND(I315&lt;0,I316&gt;=0),1,0)</x:f>
        <x:v>1</x:v>
      </x:c>
    </x:row>
  </x:sheetData>
  <x:mergeCells>
    <x:mergeCell ref="A1:L1"/>
    <x:mergeCell ref="K8:U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107" t="str">
        <x:v>規格根拠・Ver.1 適用範囲</x:v>
      </x:c>
      <x:c r="B1" s="107"/>
      <x:c r="C1" s="5"/>
      <x:c r="D1" s="5"/>
      <x:c r="E1" s="5"/>
      <x:c r="F1" s="5"/>
    </x:row>
    <x:row r="2">
      <x:c r="A2" s="108"/>
      <x:c r="B2" s="108"/>
    </x:row>
    <x:row r="3">
      <x:c r="A3" s="111" t="str">
        <x:v>項目</x:v>
      </x:c>
      <x:c r="B3" s="113" t="str">
        <x:v>内容</x:v>
      </x:c>
    </x:row>
    <x:row r="4">
      <x:c r="A4" s="132" t="str">
        <x:v>出典</x:v>
      </x:c>
      <x:c r="B4" s="133" t="str">
        <x:v>ISO/TS 13725:2001(E) — Hydraulic fluid power — Cylinders — Method for determining the buckling load</x:v>
      </x:c>
    </x:row>
    <x:row r="5">
      <x:c r="A5" s="132" t="str">
        <x:v>対象章</x:v>
      </x:c>
      <x:c r="B5" s="133" t="str">
        <x:v>Clause 4: Method for pin-mounted hydraulic cylinders</x:v>
      </x:c>
    </x:row>
    <x:row r="6">
      <x:c r="A6" s="132" t="str">
        <x:v>支持条件</x:v>
      </x:c>
      <x:c r="B6" s="133" t="str">
        <x:v>シリンダ側・ロッド先端側ともにピン支持</x:v>
      </x:c>
    </x:row>
    <x:row r="7">
      <x:c r="A7" s="132" t="str">
        <x:v>Step 1</x:v>
      </x:c>
      <x:c r="B7" s="133" t="str">
        <x:v>q1²=kF/(E1I1)、q2²=kF/(E2I2) とし、規格記載の非線形方程式の最初の正の根を数値探索</x:v>
      </x:c>
    </x:row>
    <x:row r="8">
      <x:c r="A8" s="132" t="str">
        <x:v>L3</x:v>
      </x:c>
      <x:c r="B8" s="133" t="str">
        <x:v>Figure 1 に基づき、空欄時は L3 = [Lp + (D1e-D1i)/2] / 2 で自動計算</x:v>
      </x:c>
    </x:row>
    <x:row r="9">
      <x:c r="A9" s="132" t="str">
        <x:v>断面二次モーメント</x:v>
      </x:c>
      <x:c r="B9" s="133" t="str">
        <x:v>I1=π/64(D1e⁴-D1i⁴)、I2=π/64·D2⁴</x:v>
      </x:c>
    </x:row>
    <x:row r="10">
      <x:c r="A10" s="132" t="str">
        <x:v>材料降伏チェック</x:v>
      </x:c>
      <x:c r="B10" s="133" t="str">
        <x:v>Ver.1では曲げモーメント Mmax=0 の軸力のみ。σ=4kF/(πD2²) から材料降伏上限を算定</x:v>
      </x:c>
    </x:row>
    <x:row r="11">
      <x:c r="A11" s="132" t="str">
        <x:v>未実装</x:v>
      </x:c>
      <x:c r="B11" s="133" t="str">
        <x:v>偏心荷重、芯ずれ、自重による横荷重、それらによる Mmax の計算（規格 Step 2～Stress step）は未実装</x:v>
      </x:c>
    </x:row>
    <x:row r="12">
      <x:c r="A12" s="132" t="str">
        <x:v>使い方</x:v>
      </x:c>
      <x:c r="B12" s="133" t="str">
        <x:v>「入力・結果」シートの黄色セルを変更。実荷重を直接入力した場合は使用圧力からの算出値より優先</x:v>
      </x:c>
    </x:row>
    <x:row r="13">
      <x:c r="A13" s="134" t="str">
        <x:v>重要</x:v>
      </x:c>
      <x:c r="B13" s="135" t="str">
        <x:v>本ファイルは設計検討用のプロトタイプです。正式な設計判定に使用する前に、既存の手計算・実績機・規格原文との照合を実施してください。</x:v>
      </x:c>
    </x:row>
    <x:row r="15">
      <x:c r="A15" s="21" t="str">
        <x:v>デモ入力値での期待値（外部検算）</x:v>
      </x:c>
      <x:c r="B15" s="21"/>
      <x:c r="C15" s="21"/>
      <x:c r="D15" s="21"/>
      <x:c r="E15" s="21"/>
      <x:c r="F15" s="21"/>
    </x:row>
    <x:row r="16">
      <x:c r="A16" s="59" t="str">
        <x:v>入力例</x:v>
      </x:c>
      <x:c r="B16" s="60" t="str">
        <x:v>D1e=90, D1i=75, D2=45, L1=800, L2=1000, Lp=80, E1=E2=205000, k=3</x:v>
      </x:c>
    </x:row>
    <x:row r="17">
      <x:c r="A17" s="61" t="str">
        <x:v>ISO Step1 force_det</x:v>
      </x:c>
      <x:c r="B17" s="62" t="str">
        <x:v>約 57.55 kN</x:v>
      </x:c>
    </x:row>
    <x:row r="18">
      <x:c r="A18" s="61" t="str">
        <x:v>材料降伏上限</x:v>
      </x:c>
      <x:c r="B18" s="62" t="str">
        <x:v>約 188.2 kN（σe=355 N/mm²）</x:v>
      </x:c>
    </x:row>
    <x:row r="19">
      <x:c r="A19" s="63" t="str">
        <x:v>10 MPa時の軸力</x:v>
      </x:c>
      <x:c r="B19" s="64" t="str">
        <x:v>約 44.18 kN</x:v>
      </x:c>
    </x:row>
  </x:sheetData>
  <x:mergeCells>
    <x:mergeCell ref="A1:F1"/>
    <x:mergeCell ref="A15:F15"/>
  </x:mergeCells>
  <x:pageMargins left="0.7" right="0.7" top="0.75" bottom="0.75" header="0.3" footer="0.3"/>
</x:worksheet>
</file>